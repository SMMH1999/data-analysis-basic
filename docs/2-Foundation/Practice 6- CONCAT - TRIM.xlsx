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ata-analysis-basic\docs\2-Foundation\"/>
    </mc:Choice>
  </mc:AlternateContent>
  <xr:revisionPtr revIDLastSave="0" documentId="13_ncr:1_{62777EF6-A909-4CC4-8CC7-932BF499171A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Data" sheetId="1" r:id="rId1"/>
    <sheet name="Proble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2" l="1"/>
  <c r="Q5" i="2"/>
  <c r="Q6" i="2"/>
  <c r="Q7" i="2"/>
  <c r="Q3" i="2"/>
  <c r="P4" i="2"/>
  <c r="P5" i="2"/>
  <c r="P6" i="2"/>
  <c r="P7" i="2"/>
  <c r="P3" i="2"/>
  <c r="O4" i="2"/>
  <c r="O5" i="2"/>
  <c r="O6" i="2"/>
  <c r="O7" i="2"/>
  <c r="O3" i="2"/>
  <c r="N4" i="2"/>
  <c r="N5" i="2"/>
  <c r="N6" i="2"/>
  <c r="N7" i="2"/>
  <c r="N3" i="2"/>
  <c r="M4" i="2"/>
  <c r="M5" i="2"/>
  <c r="M6" i="2"/>
  <c r="M7" i="2"/>
  <c r="M3" i="2"/>
  <c r="L4" i="2"/>
  <c r="L5" i="2"/>
  <c r="L6" i="2"/>
  <c r="L7" i="2"/>
  <c r="L3" i="2"/>
  <c r="K4" i="2"/>
  <c r="K5" i="2"/>
  <c r="K6" i="2"/>
  <c r="K7" i="2"/>
  <c r="K3" i="2"/>
  <c r="J4" i="2"/>
  <c r="J5" i="2"/>
  <c r="J6" i="2"/>
  <c r="J7" i="2"/>
  <c r="J3" i="2"/>
</calcChain>
</file>

<file path=xl/sharedStrings.xml><?xml version="1.0" encoding="utf-8"?>
<sst xmlns="http://schemas.openxmlformats.org/spreadsheetml/2006/main" count="90" uniqueCount="51">
  <si>
    <t>ID</t>
  </si>
  <si>
    <t>First_Name</t>
  </si>
  <si>
    <t>Last_Name</t>
  </si>
  <si>
    <t>City</t>
  </si>
  <si>
    <t>Phone</t>
  </si>
  <si>
    <t>Tag1</t>
  </si>
  <si>
    <t>Tag2</t>
  </si>
  <si>
    <t>Tag3</t>
  </si>
  <si>
    <t>Sara</t>
  </si>
  <si>
    <t>Moradi</t>
  </si>
  <si>
    <t>Tehran</t>
  </si>
  <si>
    <t>0935 887 4412</t>
  </si>
  <si>
    <t>vip</t>
  </si>
  <si>
    <t>urgent</t>
  </si>
  <si>
    <t>Amir</t>
  </si>
  <si>
    <t>Karimi</t>
  </si>
  <si>
    <t>Isfahan</t>
  </si>
  <si>
    <t>0912-441-2231</t>
  </si>
  <si>
    <t>review</t>
  </si>
  <si>
    <t>pending</t>
  </si>
  <si>
    <t>Neda</t>
  </si>
  <si>
    <t>Ahmadi</t>
  </si>
  <si>
    <t>Mashhad</t>
  </si>
  <si>
    <t>0930 111 9988</t>
  </si>
  <si>
    <t>return</t>
  </si>
  <si>
    <t>refund</t>
  </si>
  <si>
    <t>Reza</t>
  </si>
  <si>
    <t>Morad</t>
  </si>
  <si>
    <t>Tabriz</t>
  </si>
  <si>
    <t>0913-552-7810</t>
  </si>
  <si>
    <t>Lida</t>
  </si>
  <si>
    <t>MR</t>
  </si>
  <si>
    <t>Shiraz</t>
  </si>
  <si>
    <t>0938-220-8899</t>
  </si>
  <si>
    <t>followup</t>
  </si>
  <si>
    <t>Problem-1</t>
  </si>
  <si>
    <t>Problem-2</t>
  </si>
  <si>
    <t>Problem-3</t>
  </si>
  <si>
    <t>Problem-4</t>
  </si>
  <si>
    <t>Problem-5</t>
  </si>
  <si>
    <t>Problem-6</t>
  </si>
  <si>
    <t>Problem-7</t>
  </si>
  <si>
    <t>Full_Name</t>
  </si>
  <si>
    <t>Standard_Phone</t>
  </si>
  <si>
    <t>Full_Address</t>
  </si>
  <si>
    <t>Name_Clean</t>
  </si>
  <si>
    <t>Username</t>
  </si>
  <si>
    <t>All_Tags</t>
  </si>
  <si>
    <t xml:space="preserve">Log </t>
  </si>
  <si>
    <t>Problem-8</t>
  </si>
  <si>
    <t>CSV_Line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</si>
</sst>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K11" sqref="K11"/>
    </sheetView>
  </sheetViews>
  <sheetFormatPr defaultRowHeight="15" x14ac:dyDescent="0.25"/>
  <cols>
    <col min="1" max="1" width="2.85546875" style="1" bestFit="1" customWidth="1"/>
    <col min="2" max="2" width="11.140625" style="1" bestFit="1" customWidth="1"/>
    <col min="3" max="3" width="10.7109375" style="1" bestFit="1" customWidth="1"/>
    <col min="4" max="4" width="9" style="1" bestFit="1" customWidth="1"/>
    <col min="5" max="5" width="13.5703125" style="1" bestFit="1" customWidth="1"/>
    <col min="6" max="6" width="7.140625" style="1" bestFit="1" customWidth="1"/>
    <col min="7" max="7" width="9" style="1" bestFit="1" customWidth="1"/>
    <col min="8" max="8" width="8.28515625" style="1" bestFit="1" customWidth="1"/>
    <col min="9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>
        <v>2024</v>
      </c>
    </row>
    <row r="3" spans="1:8" x14ac:dyDescent="0.25">
      <c r="A3" s="1">
        <v>2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H3" s="1" t="s">
        <v>19</v>
      </c>
    </row>
    <row r="4" spans="1:8" x14ac:dyDescent="0.25">
      <c r="A4" s="1">
        <v>3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</row>
    <row r="5" spans="1:8" x14ac:dyDescent="0.25">
      <c r="A5" s="1">
        <v>4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12</v>
      </c>
    </row>
    <row r="6" spans="1:8" x14ac:dyDescent="0.25">
      <c r="A6" s="1">
        <v>5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13</v>
      </c>
      <c r="G6" s="1" t="s">
        <v>34</v>
      </c>
      <c r="H6" s="1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527B8-D674-4AD3-85BC-5020B6B62DF1}">
  <dimension ref="A1:Q7"/>
  <sheetViews>
    <sheetView tabSelected="1" workbookViewId="0">
      <selection activeCell="Q16" sqref="Q16"/>
    </sheetView>
  </sheetViews>
  <sheetFormatPr defaultRowHeight="15" x14ac:dyDescent="0.25"/>
  <cols>
    <col min="1" max="1" width="2.85546875" style="1" bestFit="1" customWidth="1"/>
    <col min="2" max="2" width="11.140625" style="1" bestFit="1" customWidth="1"/>
    <col min="3" max="3" width="10.7109375" style="1" bestFit="1" customWidth="1"/>
    <col min="4" max="4" width="9" style="1" bestFit="1" customWidth="1"/>
    <col min="5" max="5" width="13.5703125" style="1" bestFit="1" customWidth="1"/>
    <col min="6" max="6" width="7.140625" style="1" bestFit="1" customWidth="1"/>
    <col min="7" max="7" width="9" style="1" bestFit="1" customWidth="1"/>
    <col min="8" max="8" width="8.28515625" style="1" bestFit="1" customWidth="1"/>
    <col min="9" max="9" width="9.140625" style="1"/>
    <col min="10" max="10" width="13.140625" style="1" bestFit="1" customWidth="1"/>
    <col min="11" max="11" width="15.7109375" style="1" bestFit="1" customWidth="1"/>
    <col min="12" max="12" width="35.7109375" style="1" bestFit="1" customWidth="1"/>
    <col min="13" max="14" width="13.140625" style="1" bestFit="1" customWidth="1"/>
    <col min="15" max="15" width="20.28515625" style="1" bestFit="1" customWidth="1"/>
    <col min="16" max="16" width="65.42578125" style="1" bestFit="1" customWidth="1"/>
    <col min="17" max="17" width="48.140625" style="1" bestFit="1" customWidth="1"/>
    <col min="18" max="16384" width="9.140625" style="1"/>
  </cols>
  <sheetData>
    <row r="1" spans="1:17" ht="30" customHeight="1" x14ac:dyDescent="0.25"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49</v>
      </c>
    </row>
    <row r="2" spans="1:1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50</v>
      </c>
    </row>
    <row r="3" spans="1:17" x14ac:dyDescent="0.25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>
        <v>2024</v>
      </c>
      <c r="J3" s="1" t="str">
        <f>_xlfn.CONCAT(B3," ",C3)</f>
        <v>Sara Moradi</v>
      </c>
      <c r="K3" s="1" t="str">
        <f>SUBSTITUTE(E3," ","-")</f>
        <v>0935-887-4412</v>
      </c>
      <c r="L3" s="1" t="str">
        <f>_xlfn.CONCAT(D3,"-",J3,"-",K3)</f>
        <v>Tehran-Sara Moradi-0935-887-4412</v>
      </c>
      <c r="M3" s="1" t="str">
        <f>PROPER(TRIM(J3))</f>
        <v>Sara Moradi</v>
      </c>
      <c r="N3" s="1" t="str">
        <f>_xlfn.CONCAT(LOWER(B3),"_",LOWER(C3))</f>
        <v>sara_moradi</v>
      </c>
      <c r="O3" s="1" t="str">
        <f>_xlfn.TEXTJOIN(",",TRUE,F3:H3)</f>
        <v>vip,urgent,2024</v>
      </c>
      <c r="P3" s="1" t="str">
        <f>_xlfn.CONCAT(J3," (",D3,")"," - ","Tags: ",SUBSTITUTE(O3,",",", ")," - ","Contact: ",K3)</f>
        <v>Sara Moradi (Tehran) - Tags: vip, urgent, 2024 - Contact: 0935-887-4412</v>
      </c>
      <c r="Q3" s="1" t="str">
        <f>_xlfn.TEXTJOIN(",",TRUE,B3:H3)</f>
        <v>Sara,Moradi,Tehran,0935 887 4412,vip,urgent,2024</v>
      </c>
    </row>
    <row r="4" spans="1:17" x14ac:dyDescent="0.25">
      <c r="A4" s="1">
        <v>2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H4" s="1" t="s">
        <v>19</v>
      </c>
      <c r="J4" s="1" t="str">
        <f t="shared" ref="J4:J7" si="0">_xlfn.CONCAT(B4," ",C4)</f>
        <v>Amir Karimi</v>
      </c>
      <c r="K4" s="1" t="str">
        <f t="shared" ref="K4:K7" si="1">SUBSTITUTE(E4," ","-")</f>
        <v>0912-441-2231</v>
      </c>
      <c r="L4" s="1" t="str">
        <f t="shared" ref="L4:L7" si="2">_xlfn.CONCAT(D4,"-",J4,"-",K4)</f>
        <v>Isfahan-Amir Karimi-0912-441-2231</v>
      </c>
      <c r="M4" s="1" t="str">
        <f t="shared" ref="M4:M7" si="3">PROPER(TRIM(J4))</f>
        <v>Amir Karimi</v>
      </c>
      <c r="N4" s="1" t="str">
        <f t="shared" ref="N4:N7" si="4">_xlfn.CONCAT(LOWER(B4),"_",LOWER(C4))</f>
        <v>amir_karimi</v>
      </c>
      <c r="O4" s="1" t="str">
        <f t="shared" ref="O4:O7" si="5">_xlfn.TEXTJOIN(",",TRUE,F4:H4)</f>
        <v>review,pending</v>
      </c>
      <c r="P4" s="1" t="str">
        <f t="shared" ref="P4:P7" si="6">_xlfn.CONCAT(J4," (",D4,")"," - ","Tags: ",SUBSTITUTE(O4,",",", ")," - ","Contact: ",K4)</f>
        <v>Amir Karimi (Isfahan) - Tags: review, pending - Contact: 0912-441-2231</v>
      </c>
      <c r="Q4" s="1" t="str">
        <f t="shared" ref="Q4:Q7" si="7">_xlfn.TEXTJOIN(",",TRUE,B4:H4)</f>
        <v>Amir,Karimi,Isfahan,0912-441-2231,review,pending</v>
      </c>
    </row>
    <row r="5" spans="1:17" x14ac:dyDescent="0.25">
      <c r="A5" s="1">
        <v>3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J5" s="1" t="str">
        <f t="shared" si="0"/>
        <v>Neda Ahmadi</v>
      </c>
      <c r="K5" s="1" t="str">
        <f t="shared" si="1"/>
        <v>0930-111-9988</v>
      </c>
      <c r="L5" s="1" t="str">
        <f t="shared" si="2"/>
        <v>Mashhad-Neda Ahmadi-0930-111-9988</v>
      </c>
      <c r="M5" s="1" t="str">
        <f t="shared" si="3"/>
        <v>Neda Ahmadi</v>
      </c>
      <c r="N5" s="1" t="str">
        <f t="shared" si="4"/>
        <v>neda_ahmadi</v>
      </c>
      <c r="O5" s="1" t="str">
        <f t="shared" si="5"/>
        <v>return,refund</v>
      </c>
      <c r="P5" s="1" t="str">
        <f t="shared" si="6"/>
        <v>Neda Ahmadi (Mashhad) - Tags: return, refund - Contact: 0930-111-9988</v>
      </c>
      <c r="Q5" s="1" t="str">
        <f t="shared" si="7"/>
        <v>Neda,Ahmadi,Mashhad,0930 111 9988,return,refund</v>
      </c>
    </row>
    <row r="6" spans="1:17" x14ac:dyDescent="0.25">
      <c r="A6" s="1">
        <v>4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12</v>
      </c>
      <c r="J6" s="1" t="str">
        <f t="shared" si="0"/>
        <v>Reza Morad</v>
      </c>
      <c r="K6" s="1" t="str">
        <f t="shared" si="1"/>
        <v>0913-552-7810</v>
      </c>
      <c r="L6" s="1" t="str">
        <f t="shared" si="2"/>
        <v>Tabriz-Reza Morad-0913-552-7810</v>
      </c>
      <c r="M6" s="1" t="str">
        <f t="shared" si="3"/>
        <v>Reza Morad</v>
      </c>
      <c r="N6" s="1" t="str">
        <f t="shared" si="4"/>
        <v>reza_morad</v>
      </c>
      <c r="O6" s="1" t="str">
        <f t="shared" si="5"/>
        <v>vip</v>
      </c>
      <c r="P6" s="1" t="str">
        <f t="shared" si="6"/>
        <v>Reza Morad (Tabriz) - Tags: vip - Contact: 0913-552-7810</v>
      </c>
      <c r="Q6" s="1" t="str">
        <f t="shared" si="7"/>
        <v>Reza,Morad,Tabriz,0913-552-7810,vip</v>
      </c>
    </row>
    <row r="7" spans="1:17" x14ac:dyDescent="0.25">
      <c r="A7" s="1">
        <v>5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13</v>
      </c>
      <c r="G7" s="1" t="s">
        <v>34</v>
      </c>
      <c r="H7" s="1">
        <v>2023</v>
      </c>
      <c r="J7" s="1" t="str">
        <f t="shared" si="0"/>
        <v>Lida MR</v>
      </c>
      <c r="K7" s="1" t="str">
        <f t="shared" si="1"/>
        <v>0938-220-8899</v>
      </c>
      <c r="L7" s="1" t="str">
        <f t="shared" si="2"/>
        <v>Shiraz-Lida MR-0938-220-8899</v>
      </c>
      <c r="M7" s="1" t="str">
        <f t="shared" si="3"/>
        <v>Lida Mr</v>
      </c>
      <c r="N7" s="1" t="str">
        <f t="shared" si="4"/>
        <v>lida_mr</v>
      </c>
      <c r="O7" s="1" t="str">
        <f t="shared" si="5"/>
        <v>urgent,followup,2023</v>
      </c>
      <c r="P7" s="1" t="str">
        <f t="shared" si="6"/>
        <v>Lida MR (Shiraz) - Tags: urgent, followup, 2023 - Contact: 0938-220-8899</v>
      </c>
      <c r="Q7" s="1" t="str">
        <f t="shared" si="7"/>
        <v>Lida,MR,Shiraz,0938-220-8899,urgent,followup,2023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Problems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Seyed Mohammad Mahdi Hashemi</dc:creator>
  <cp:lastModifiedBy>Seyed Mohammad Mahdi Hashemi</cp:lastModifiedBy>
  <dcterms:created xsi:type="dcterms:W3CDTF">2015-06-05T18:17:20Z</dcterms:created>
  <dcterms:modified xsi:type="dcterms:W3CDTF">2025-11-22T14:36:21Z</dcterms:modified>
</cp:coreProperties>
</file>