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116941DE-6E06-41DB-AA81-497DA246230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Problems" sheetId="2" r:id="rId2"/>
    <sheet name="Sheet2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T3" i="2"/>
  <c r="S4" i="2"/>
  <c r="S5" i="2"/>
  <c r="S6" i="2"/>
  <c r="S3" i="2"/>
  <c r="R6" i="2"/>
  <c r="R4" i="2"/>
  <c r="R5" i="2"/>
  <c r="R3" i="2"/>
  <c r="Q10" i="2"/>
  <c r="P10" i="2"/>
  <c r="P4" i="2"/>
  <c r="Q4" i="2"/>
  <c r="P5" i="2"/>
  <c r="Q5" i="2"/>
  <c r="P6" i="2"/>
  <c r="Q6" i="2"/>
  <c r="P7" i="2"/>
  <c r="Q7" i="2"/>
  <c r="P8" i="2"/>
  <c r="Q8" i="2"/>
  <c r="Q3" i="2"/>
  <c r="P3" i="2"/>
  <c r="O4" i="2"/>
  <c r="O5" i="2"/>
  <c r="O6" i="2"/>
  <c r="O7" i="2"/>
  <c r="O8" i="2"/>
  <c r="O3" i="2"/>
  <c r="N4" i="2"/>
  <c r="N5" i="2"/>
  <c r="N6" i="2"/>
  <c r="N3" i="2"/>
  <c r="L3" i="2"/>
  <c r="L4" i="2"/>
  <c r="L5" i="2"/>
  <c r="L6" i="2"/>
  <c r="L7" i="2"/>
  <c r="L8" i="2"/>
</calcChain>
</file>

<file path=xl/sharedStrings.xml><?xml version="1.0" encoding="utf-8"?>
<sst xmlns="http://schemas.openxmlformats.org/spreadsheetml/2006/main" count="86" uniqueCount="48">
  <si>
    <t>ID</t>
  </si>
  <si>
    <t>Name</t>
  </si>
  <si>
    <t>Dept</t>
  </si>
  <si>
    <t>Sales_Q1</t>
  </si>
  <si>
    <t>Sales_Q2</t>
  </si>
  <si>
    <t>Sales_Q3</t>
  </si>
  <si>
    <t>Sales_Q4</t>
  </si>
  <si>
    <t>Rating</t>
  </si>
  <si>
    <t>Bonus</t>
  </si>
  <si>
    <t>Sick_Days</t>
  </si>
  <si>
    <t>Sara</t>
  </si>
  <si>
    <t>Marketing</t>
  </si>
  <si>
    <t>Amir</t>
  </si>
  <si>
    <t>Neda</t>
  </si>
  <si>
    <t>HR</t>
  </si>
  <si>
    <t>Reza</t>
  </si>
  <si>
    <t>IT</t>
  </si>
  <si>
    <t>Lida</t>
  </si>
  <si>
    <t>Sales</t>
  </si>
  <si>
    <t>Hamed</t>
  </si>
  <si>
    <t>Problem-1</t>
  </si>
  <si>
    <t>Problem-2</t>
  </si>
  <si>
    <t>Problem-3</t>
  </si>
  <si>
    <t>Problem-4</t>
  </si>
  <si>
    <t>Problem-5</t>
  </si>
  <si>
    <t>Problem-6</t>
  </si>
  <si>
    <t>Problem-7</t>
  </si>
  <si>
    <t>Problem-8</t>
  </si>
  <si>
    <t>Problem-9</t>
  </si>
  <si>
    <t>Avg_Sales</t>
  </si>
  <si>
    <t>Workers_Number</t>
  </si>
  <si>
    <t xml:space="preserve">Total_Sales </t>
  </si>
  <si>
    <t>Min_Sales</t>
  </si>
  <si>
    <t>Max_Sales</t>
  </si>
  <si>
    <t>Total</t>
  </si>
  <si>
    <t>Performance Rating</t>
  </si>
  <si>
    <t xml:space="preserve">Department_Bonus </t>
  </si>
  <si>
    <t xml:space="preserve">employe Sick_Days </t>
  </si>
  <si>
    <t>KPI</t>
  </si>
  <si>
    <t>Row Labels</t>
  </si>
  <si>
    <t>Sum of Rating</t>
  </si>
  <si>
    <t>Grand Total</t>
  </si>
  <si>
    <t>Sum of Sales_Q1</t>
  </si>
  <si>
    <t>Sum of Sales_Q2</t>
  </si>
  <si>
    <t>Sum of Sales_Q3</t>
  </si>
  <si>
    <t>Sum of Sales_Q4</t>
  </si>
  <si>
    <t>Sum of Bonus</t>
  </si>
  <si>
    <t>Sum of Sick_Days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</si>
</sst>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ed Mohammad Mahdi Hashemi" refreshedDate="45983.803841666668" createdVersion="8" refreshedVersion="8" minRefreshableVersion="3" recordCount="6" xr:uid="{6C3D1ABF-A279-45BF-8ACF-C563AD10D928}">
  <cacheSource type="worksheet">
    <worksheetSource ref="A2:J8" sheet="Problems"/>
  </cacheSource>
  <cacheFields count="10">
    <cacheField name="ID" numFmtId="0">
      <sharedItems containsSemiMixedTypes="0" containsString="0" containsNumber="1" containsInteger="1" minValue="1" maxValue="6"/>
    </cacheField>
    <cacheField name="Name" numFmtId="0">
      <sharedItems count="6">
        <s v="Sara"/>
        <s v="Amir"/>
        <s v="Neda"/>
        <s v="Reza"/>
        <s v="Lida"/>
        <s v="Hamed"/>
      </sharedItems>
    </cacheField>
    <cacheField name="Dept" numFmtId="0">
      <sharedItems count="4">
        <s v="Marketing"/>
        <s v="HR"/>
        <s v="IT"/>
        <s v="Sales"/>
      </sharedItems>
    </cacheField>
    <cacheField name="Sales_Q1" numFmtId="0">
      <sharedItems containsSemiMixedTypes="0" containsString="0" containsNumber="1" containsInteger="1" minValue="5000" maxValue="20000"/>
    </cacheField>
    <cacheField name="Sales_Q2" numFmtId="0">
      <sharedItems containsSemiMixedTypes="0" containsString="0" containsNumber="1" containsInteger="1" minValue="6000" maxValue="21000"/>
    </cacheField>
    <cacheField name="Sales_Q3" numFmtId="0">
      <sharedItems containsSemiMixedTypes="0" containsString="0" containsNumber="1" containsInteger="1" minValue="5500" maxValue="22000"/>
    </cacheField>
    <cacheField name="Sales_Q4" numFmtId="0">
      <sharedItems containsSemiMixedTypes="0" containsString="0" containsNumber="1" containsInteger="1" minValue="5200" maxValue="25000"/>
    </cacheField>
    <cacheField name="Rating" numFmtId="0">
      <sharedItems containsSemiMixedTypes="0" containsString="0" containsNumber="1" minValue="3.7" maxValue="4.9000000000000004"/>
    </cacheField>
    <cacheField name="Bonus" numFmtId="0">
      <sharedItems containsSemiMixedTypes="0" containsString="0" containsNumber="1" containsInteger="1" minValue="650" maxValue="2000"/>
    </cacheField>
    <cacheField name="Sick_Days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x v="0"/>
    <n v="12000"/>
    <n v="15000"/>
    <n v="17000"/>
    <n v="16000"/>
    <n v="4.8"/>
    <n v="1200"/>
    <n v="2"/>
  </r>
  <r>
    <n v="2"/>
    <x v="1"/>
    <x v="0"/>
    <n v="8000"/>
    <n v="9000"/>
    <n v="11000"/>
    <n v="13000"/>
    <n v="4.0999999999999996"/>
    <n v="800"/>
    <n v="3"/>
  </r>
  <r>
    <n v="3"/>
    <x v="2"/>
    <x v="1"/>
    <n v="5000"/>
    <n v="6000"/>
    <n v="5500"/>
    <n v="5200"/>
    <n v="3.7"/>
    <n v="650"/>
    <n v="1"/>
  </r>
  <r>
    <n v="4"/>
    <x v="3"/>
    <x v="2"/>
    <n v="15000"/>
    <n v="14000"/>
    <n v="14500"/>
    <n v="15500"/>
    <n v="4.5"/>
    <n v="1000"/>
    <n v="4"/>
  </r>
  <r>
    <n v="5"/>
    <x v="4"/>
    <x v="3"/>
    <n v="20000"/>
    <n v="21000"/>
    <n v="22000"/>
    <n v="25000"/>
    <n v="4.9000000000000004"/>
    <n v="2000"/>
    <n v="0"/>
  </r>
  <r>
    <n v="6"/>
    <x v="5"/>
    <x v="3"/>
    <n v="17000"/>
    <n v="16000"/>
    <n v="15000"/>
    <n v="14000"/>
    <n v="3.9"/>
    <n v="9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3E239-88A0-4220-B588-84130535B95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0" firstDataRow="1" firstDataCol="1"/>
  <pivotFields count="10">
    <pivotField showAll="0"/>
    <pivotField axis="axisRow" showAll="0">
      <items count="7">
        <item x="1"/>
        <item x="5"/>
        <item x="4"/>
        <item x="2"/>
        <item x="3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2"/>
    <field x="1"/>
  </rowFields>
  <rowItems count="11">
    <i>
      <x/>
    </i>
    <i r="1">
      <x v="3"/>
    </i>
    <i>
      <x v="1"/>
    </i>
    <i r="1">
      <x v="4"/>
    </i>
    <i>
      <x v="2"/>
    </i>
    <i r="1">
      <x/>
    </i>
    <i r="1">
      <x v="5"/>
    </i>
    <i>
      <x v="3"/>
    </i>
    <i r="1">
      <x v="1"/>
    </i>
    <i r="1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Sales_Q1" fld="3" baseField="0" baseItem="0"/>
    <dataField name="Sum of Sales_Q2" fld="4" baseField="0" baseItem="0"/>
    <dataField name="Sum of Sales_Q3" fld="5" baseField="0" baseItem="0"/>
    <dataField name="Sum of Sales_Q4" fld="6" baseField="0" baseItem="0"/>
    <dataField name="Sum of Rating" fld="7" baseField="0" baseItem="0"/>
    <dataField name="Sum of Bonus" fld="8" baseField="0" baseItem="0"/>
    <dataField name="Sum of Sick_Day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K26" sqref="K26"/>
    </sheetView>
  </sheetViews>
  <sheetFormatPr defaultRowHeight="15" x14ac:dyDescent="0.25"/>
  <cols>
    <col min="1" max="1" width="2.85546875" style="1" bestFit="1" customWidth="1"/>
    <col min="2" max="2" width="7.28515625" style="1" bestFit="1" customWidth="1"/>
    <col min="3" max="3" width="10" style="1" bestFit="1" customWidth="1"/>
    <col min="4" max="7" width="9" style="1" bestFit="1" customWidth="1"/>
    <col min="8" max="8" width="6.5703125" style="1" bestFit="1" customWidth="1"/>
    <col min="9" max="9" width="6.42578125" style="1" bestFit="1" customWidth="1"/>
    <col min="10" max="10" width="9.5703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>
        <v>12000</v>
      </c>
      <c r="E2" s="1">
        <v>15000</v>
      </c>
      <c r="F2" s="1">
        <v>17000</v>
      </c>
      <c r="G2" s="1">
        <v>16000</v>
      </c>
      <c r="H2" s="1">
        <v>4.8</v>
      </c>
      <c r="I2" s="1">
        <v>1200</v>
      </c>
      <c r="J2" s="1">
        <v>2</v>
      </c>
    </row>
    <row r="3" spans="1:10" x14ac:dyDescent="0.25">
      <c r="A3" s="1">
        <v>2</v>
      </c>
      <c r="B3" s="1" t="s">
        <v>12</v>
      </c>
      <c r="C3" s="1" t="s">
        <v>11</v>
      </c>
      <c r="D3" s="1">
        <v>8000</v>
      </c>
      <c r="E3" s="1">
        <v>9000</v>
      </c>
      <c r="F3" s="1">
        <v>11000</v>
      </c>
      <c r="G3" s="1">
        <v>13000</v>
      </c>
      <c r="H3" s="1">
        <v>4.0999999999999996</v>
      </c>
      <c r="I3" s="1">
        <v>800</v>
      </c>
      <c r="J3" s="1">
        <v>3</v>
      </c>
    </row>
    <row r="4" spans="1:10" x14ac:dyDescent="0.25">
      <c r="A4" s="1">
        <v>3</v>
      </c>
      <c r="B4" s="1" t="s">
        <v>13</v>
      </c>
      <c r="C4" s="1" t="s">
        <v>14</v>
      </c>
      <c r="D4" s="1">
        <v>5000</v>
      </c>
      <c r="E4" s="1">
        <v>6000</v>
      </c>
      <c r="F4" s="1">
        <v>5500</v>
      </c>
      <c r="G4" s="1">
        <v>5200</v>
      </c>
      <c r="H4" s="1">
        <v>3.7</v>
      </c>
      <c r="I4" s="1">
        <v>650</v>
      </c>
      <c r="J4" s="1">
        <v>1</v>
      </c>
    </row>
    <row r="5" spans="1:10" x14ac:dyDescent="0.25">
      <c r="A5" s="1">
        <v>4</v>
      </c>
      <c r="B5" s="1" t="s">
        <v>15</v>
      </c>
      <c r="C5" s="1" t="s">
        <v>16</v>
      </c>
      <c r="D5" s="1">
        <v>15000</v>
      </c>
      <c r="E5" s="1">
        <v>14000</v>
      </c>
      <c r="F5" s="1">
        <v>14500</v>
      </c>
      <c r="G5" s="1">
        <v>15500</v>
      </c>
      <c r="H5" s="1">
        <v>4.5</v>
      </c>
      <c r="I5" s="1">
        <v>1000</v>
      </c>
      <c r="J5" s="1">
        <v>4</v>
      </c>
    </row>
    <row r="6" spans="1:10" x14ac:dyDescent="0.25">
      <c r="A6" s="1">
        <v>5</v>
      </c>
      <c r="B6" s="1" t="s">
        <v>17</v>
      </c>
      <c r="C6" s="1" t="s">
        <v>18</v>
      </c>
      <c r="D6" s="1">
        <v>20000</v>
      </c>
      <c r="E6" s="1">
        <v>21000</v>
      </c>
      <c r="F6" s="1">
        <v>22000</v>
      </c>
      <c r="G6" s="1">
        <v>25000</v>
      </c>
      <c r="H6" s="1">
        <v>4.9000000000000004</v>
      </c>
      <c r="I6" s="1">
        <v>2000</v>
      </c>
      <c r="J6" s="1">
        <v>0</v>
      </c>
    </row>
    <row r="7" spans="1:10" x14ac:dyDescent="0.25">
      <c r="A7" s="1">
        <v>6</v>
      </c>
      <c r="B7" s="1" t="s">
        <v>19</v>
      </c>
      <c r="C7" s="1" t="s">
        <v>18</v>
      </c>
      <c r="D7" s="1">
        <v>17000</v>
      </c>
      <c r="E7" s="1">
        <v>16000</v>
      </c>
      <c r="F7" s="1">
        <v>15000</v>
      </c>
      <c r="G7" s="1">
        <v>14000</v>
      </c>
      <c r="H7" s="1">
        <v>3.9</v>
      </c>
      <c r="I7" s="1">
        <v>900</v>
      </c>
      <c r="J7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134F-3F64-4C20-A817-37485ACF4FE4}">
  <dimension ref="A1:W10"/>
  <sheetViews>
    <sheetView workbookViewId="0">
      <selection activeCell="A2" sqref="A2:J8"/>
    </sheetView>
  </sheetViews>
  <sheetFormatPr defaultRowHeight="15" x14ac:dyDescent="0.25"/>
  <cols>
    <col min="1" max="1" width="2.85546875" style="1" bestFit="1" customWidth="1"/>
    <col min="2" max="2" width="7.28515625" style="1" bestFit="1" customWidth="1"/>
    <col min="3" max="3" width="10" style="1" bestFit="1" customWidth="1"/>
    <col min="4" max="7" width="9" style="1" bestFit="1" customWidth="1"/>
    <col min="8" max="8" width="6.5703125" style="1" bestFit="1" customWidth="1"/>
    <col min="9" max="9" width="6.42578125" style="1" bestFit="1" customWidth="1"/>
    <col min="10" max="10" width="9.5703125" style="1" bestFit="1" customWidth="1"/>
    <col min="11" max="11" width="9.140625" style="1"/>
    <col min="12" max="12" width="10.28515625" style="1" bestFit="1" customWidth="1"/>
    <col min="13" max="13" width="10.28515625" style="1" customWidth="1"/>
    <col min="14" max="14" width="16.85546875" style="1" bestFit="1" customWidth="1"/>
    <col min="15" max="15" width="11.42578125" style="1" bestFit="1" customWidth="1"/>
    <col min="16" max="17" width="10.28515625" style="1" customWidth="1"/>
    <col min="18" max="18" width="30" style="1" bestFit="1" customWidth="1"/>
    <col min="19" max="19" width="18.85546875" style="1" bestFit="1" customWidth="1"/>
    <col min="20" max="20" width="19" style="1" bestFit="1" customWidth="1"/>
    <col min="21" max="23" width="10.28515625" style="1" bestFit="1" customWidth="1"/>
    <col min="24" max="16384" width="9.140625" style="1"/>
  </cols>
  <sheetData>
    <row r="1" spans="1:23" ht="29.25" customHeight="1" x14ac:dyDescent="0.25">
      <c r="L1" s="1" t="s">
        <v>20</v>
      </c>
      <c r="M1" s="2" t="s">
        <v>21</v>
      </c>
      <c r="N1" s="2"/>
      <c r="O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1" t="s">
        <v>29</v>
      </c>
      <c r="M2" s="2" t="s">
        <v>30</v>
      </c>
      <c r="N2" s="2"/>
      <c r="O2" s="1" t="s">
        <v>31</v>
      </c>
      <c r="P2" s="1" t="s">
        <v>32</v>
      </c>
      <c r="Q2" s="1" t="s">
        <v>33</v>
      </c>
      <c r="R2" s="1" t="s">
        <v>35</v>
      </c>
      <c r="S2" s="1" t="s">
        <v>36</v>
      </c>
      <c r="T2" s="1" t="s">
        <v>37</v>
      </c>
      <c r="U2" s="1" t="s">
        <v>38</v>
      </c>
    </row>
    <row r="3" spans="1:23" x14ac:dyDescent="0.25">
      <c r="A3" s="1">
        <v>1</v>
      </c>
      <c r="B3" s="1" t="s">
        <v>10</v>
      </c>
      <c r="C3" s="1" t="s">
        <v>11</v>
      </c>
      <c r="D3" s="1">
        <v>12000</v>
      </c>
      <c r="E3" s="1">
        <v>15000</v>
      </c>
      <c r="F3" s="1">
        <v>17000</v>
      </c>
      <c r="G3" s="1">
        <v>16000</v>
      </c>
      <c r="H3" s="1">
        <v>4.8</v>
      </c>
      <c r="I3" s="1">
        <v>1200</v>
      </c>
      <c r="J3" s="1">
        <v>2</v>
      </c>
      <c r="L3" s="1">
        <f>AVERAGE(D3:G3)</f>
        <v>15000</v>
      </c>
      <c r="M3" s="1" t="s">
        <v>11</v>
      </c>
      <c r="N3" s="1">
        <f>COUNTIF(B3:C8,M3)</f>
        <v>2</v>
      </c>
      <c r="O3" s="1">
        <f>SUM(D3:G3)</f>
        <v>60000</v>
      </c>
      <c r="P3" s="1">
        <f>MIN(D3:G3)</f>
        <v>12000</v>
      </c>
      <c r="Q3" s="1">
        <f>MAX(D3:G3)</f>
        <v>17000</v>
      </c>
      <c r="R3" s="1">
        <f>AVERAGEIF(C3:C8,M3,H3:H8)</f>
        <v>4.4499999999999993</v>
      </c>
      <c r="S3" s="1">
        <f>SUMIF(C3:C8,M3,I3:I8)</f>
        <v>2000</v>
      </c>
      <c r="T3" s="1">
        <f>COUNTIF(J3:J8,"&gt;2")</f>
        <v>3</v>
      </c>
      <c r="U3" s="1" t="str">
        <f>IF(AND(SUM(D3:G3)&gt;=20000,H3&gt;=4.5),"A",IF(SUM(D3:G3)&lt;15000,"C","B"))</f>
        <v>A</v>
      </c>
    </row>
    <row r="4" spans="1:23" x14ac:dyDescent="0.25">
      <c r="A4" s="1">
        <v>2</v>
      </c>
      <c r="B4" s="1" t="s">
        <v>12</v>
      </c>
      <c r="C4" s="1" t="s">
        <v>11</v>
      </c>
      <c r="D4" s="1">
        <v>8000</v>
      </c>
      <c r="E4" s="1">
        <v>9000</v>
      </c>
      <c r="F4" s="1">
        <v>11000</v>
      </c>
      <c r="G4" s="1">
        <v>13000</v>
      </c>
      <c r="H4" s="1">
        <v>4.0999999999999996</v>
      </c>
      <c r="I4" s="1">
        <v>800</v>
      </c>
      <c r="J4" s="1">
        <v>3</v>
      </c>
      <c r="L4" s="1">
        <f t="shared" ref="L4:L8" si="0">AVERAGE(D4:G4)</f>
        <v>10250</v>
      </c>
      <c r="M4" s="1" t="s">
        <v>14</v>
      </c>
      <c r="N4" s="1">
        <f t="shared" ref="N4:N6" si="1">COUNTIF(B4:C9,M4)</f>
        <v>1</v>
      </c>
      <c r="O4" s="1">
        <f t="shared" ref="O4:O8" si="2">SUM(D4:G4)</f>
        <v>41000</v>
      </c>
      <c r="P4" s="1">
        <f t="shared" ref="P4:P8" si="3">MIN(D4:G4)</f>
        <v>8000</v>
      </c>
      <c r="Q4" s="1">
        <f t="shared" ref="Q4:Q8" si="4">MAX(D4:G4)</f>
        <v>13000</v>
      </c>
      <c r="R4" s="1">
        <f t="shared" ref="R4:R5" si="5">AVERAGEIF(C4:C9,M4,H4:H9)</f>
        <v>3.7</v>
      </c>
      <c r="S4" s="1">
        <f t="shared" ref="S4:S6" si="6">SUMIF(C4:C9,M4,I4:I9)</f>
        <v>650</v>
      </c>
      <c r="U4" s="1" t="str">
        <f t="shared" ref="U4:U8" si="7">IF(AND(SUM(D4:G4)&gt;=20000,H4&gt;=4.5),"A",IF(SUM(D4:G4)&lt;15000,"C","B"))</f>
        <v>B</v>
      </c>
    </row>
    <row r="5" spans="1:23" x14ac:dyDescent="0.25">
      <c r="A5" s="1">
        <v>3</v>
      </c>
      <c r="B5" s="1" t="s">
        <v>13</v>
      </c>
      <c r="C5" s="1" t="s">
        <v>14</v>
      </c>
      <c r="D5" s="1">
        <v>5000</v>
      </c>
      <c r="E5" s="1">
        <v>6000</v>
      </c>
      <c r="F5" s="1">
        <v>5500</v>
      </c>
      <c r="G5" s="1">
        <v>5200</v>
      </c>
      <c r="H5" s="1">
        <v>3.7</v>
      </c>
      <c r="I5" s="1">
        <v>650</v>
      </c>
      <c r="J5" s="1">
        <v>1</v>
      </c>
      <c r="L5" s="1">
        <f t="shared" si="0"/>
        <v>5425</v>
      </c>
      <c r="M5" s="1" t="s">
        <v>16</v>
      </c>
      <c r="N5" s="1">
        <f t="shared" si="1"/>
        <v>1</v>
      </c>
      <c r="O5" s="1">
        <f t="shared" si="2"/>
        <v>21700</v>
      </c>
      <c r="P5" s="1">
        <f t="shared" si="3"/>
        <v>5000</v>
      </c>
      <c r="Q5" s="1">
        <f t="shared" si="4"/>
        <v>6000</v>
      </c>
      <c r="R5" s="1">
        <f t="shared" si="5"/>
        <v>4.5</v>
      </c>
      <c r="S5" s="1">
        <f t="shared" si="6"/>
        <v>1000</v>
      </c>
      <c r="U5" s="1" t="str">
        <f t="shared" si="7"/>
        <v>B</v>
      </c>
    </row>
    <row r="6" spans="1:23" x14ac:dyDescent="0.25">
      <c r="A6" s="1">
        <v>4</v>
      </c>
      <c r="B6" s="1" t="s">
        <v>15</v>
      </c>
      <c r="C6" s="1" t="s">
        <v>16</v>
      </c>
      <c r="D6" s="1">
        <v>15000</v>
      </c>
      <c r="E6" s="1">
        <v>14000</v>
      </c>
      <c r="F6" s="1">
        <v>14500</v>
      </c>
      <c r="G6" s="1">
        <v>15500</v>
      </c>
      <c r="H6" s="1">
        <v>4.5</v>
      </c>
      <c r="I6" s="1">
        <v>1000</v>
      </c>
      <c r="J6" s="1">
        <v>4</v>
      </c>
      <c r="L6" s="1">
        <f t="shared" si="0"/>
        <v>14750</v>
      </c>
      <c r="M6" s="1" t="s">
        <v>18</v>
      </c>
      <c r="N6" s="1">
        <f t="shared" si="1"/>
        <v>2</v>
      </c>
      <c r="O6" s="1">
        <f t="shared" si="2"/>
        <v>59000</v>
      </c>
      <c r="P6" s="1">
        <f t="shared" si="3"/>
        <v>14000</v>
      </c>
      <c r="Q6" s="1">
        <f t="shared" si="4"/>
        <v>15500</v>
      </c>
      <c r="R6" s="1">
        <f>AVERAGEIF(C6:C11,M6,H6:H11)</f>
        <v>4.4000000000000004</v>
      </c>
      <c r="S6" s="1">
        <f t="shared" si="6"/>
        <v>2900</v>
      </c>
      <c r="U6" s="1" t="str">
        <f t="shared" si="7"/>
        <v>A</v>
      </c>
    </row>
    <row r="7" spans="1:23" x14ac:dyDescent="0.25">
      <c r="A7" s="1">
        <v>5</v>
      </c>
      <c r="B7" s="1" t="s">
        <v>17</v>
      </c>
      <c r="C7" s="1" t="s">
        <v>18</v>
      </c>
      <c r="D7" s="1">
        <v>20000</v>
      </c>
      <c r="E7" s="1">
        <v>21000</v>
      </c>
      <c r="F7" s="1">
        <v>22000</v>
      </c>
      <c r="G7" s="1">
        <v>25000</v>
      </c>
      <c r="H7" s="1">
        <v>4.9000000000000004</v>
      </c>
      <c r="I7" s="1">
        <v>2000</v>
      </c>
      <c r="J7" s="1">
        <v>0</v>
      </c>
      <c r="L7" s="1">
        <f t="shared" si="0"/>
        <v>22000</v>
      </c>
      <c r="O7" s="1">
        <f t="shared" si="2"/>
        <v>88000</v>
      </c>
      <c r="P7" s="1">
        <f t="shared" si="3"/>
        <v>20000</v>
      </c>
      <c r="Q7" s="1">
        <f t="shared" si="4"/>
        <v>25000</v>
      </c>
      <c r="U7" s="1" t="str">
        <f t="shared" si="7"/>
        <v>A</v>
      </c>
    </row>
    <row r="8" spans="1:23" x14ac:dyDescent="0.25">
      <c r="A8" s="1">
        <v>6</v>
      </c>
      <c r="B8" s="1" t="s">
        <v>19</v>
      </c>
      <c r="C8" s="1" t="s">
        <v>18</v>
      </c>
      <c r="D8" s="1">
        <v>17000</v>
      </c>
      <c r="E8" s="1">
        <v>16000</v>
      </c>
      <c r="F8" s="1">
        <v>15000</v>
      </c>
      <c r="G8" s="1">
        <v>14000</v>
      </c>
      <c r="H8" s="1">
        <v>3.9</v>
      </c>
      <c r="I8" s="1">
        <v>900</v>
      </c>
      <c r="J8" s="1">
        <v>5</v>
      </c>
      <c r="L8" s="1">
        <f t="shared" si="0"/>
        <v>15500</v>
      </c>
      <c r="O8" s="1">
        <f t="shared" si="2"/>
        <v>62000</v>
      </c>
      <c r="P8" s="1">
        <f t="shared" si="3"/>
        <v>14000</v>
      </c>
      <c r="Q8" s="1">
        <f t="shared" si="4"/>
        <v>17000</v>
      </c>
      <c r="U8" s="1" t="str">
        <f t="shared" si="7"/>
        <v>B</v>
      </c>
    </row>
    <row r="10" spans="1:23" x14ac:dyDescent="0.25">
      <c r="O10" s="1" t="s">
        <v>34</v>
      </c>
      <c r="P10" s="1">
        <f>MIN(O3:O8)</f>
        <v>21700</v>
      </c>
      <c r="Q10" s="1">
        <f>MAX(O3:O8)</f>
        <v>88000</v>
      </c>
    </row>
  </sheetData>
  <mergeCells count="2">
    <mergeCell ref="M1:N1"/>
    <mergeCell ref="M2:N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6038-3581-48B3-803B-39E3AB9DF856}">
  <dimension ref="A3:H14"/>
  <sheetViews>
    <sheetView workbookViewId="0">
      <selection activeCell="X14" sqref="X14"/>
    </sheetView>
  </sheetViews>
  <sheetFormatPr defaultRowHeight="15" x14ac:dyDescent="0.25"/>
  <cols>
    <col min="1" max="1" width="13.140625" bestFit="1" customWidth="1"/>
    <col min="2" max="5" width="15.7109375" bestFit="1" customWidth="1"/>
    <col min="6" max="6" width="13.28515625" bestFit="1" customWidth="1"/>
    <col min="7" max="7" width="13.140625" bestFit="1" customWidth="1"/>
    <col min="8" max="8" width="16.28515625" bestFit="1" customWidth="1"/>
  </cols>
  <sheetData>
    <row r="3" spans="1:8" x14ac:dyDescent="0.25">
      <c r="A3" s="3" t="s">
        <v>39</v>
      </c>
      <c r="B3" t="s">
        <v>42</v>
      </c>
      <c r="C3" t="s">
        <v>43</v>
      </c>
      <c r="D3" t="s">
        <v>44</v>
      </c>
      <c r="E3" t="s">
        <v>45</v>
      </c>
      <c r="F3" t="s">
        <v>40</v>
      </c>
      <c r="G3" t="s">
        <v>46</v>
      </c>
      <c r="H3" t="s">
        <v>47</v>
      </c>
    </row>
    <row r="4" spans="1:8" x14ac:dyDescent="0.25">
      <c r="A4" s="4" t="s">
        <v>14</v>
      </c>
      <c r="B4" s="5">
        <v>5000</v>
      </c>
      <c r="C4" s="5">
        <v>6000</v>
      </c>
      <c r="D4" s="5">
        <v>5500</v>
      </c>
      <c r="E4" s="5">
        <v>5200</v>
      </c>
      <c r="F4" s="5">
        <v>3.7</v>
      </c>
      <c r="G4" s="5">
        <v>650</v>
      </c>
      <c r="H4" s="5">
        <v>1</v>
      </c>
    </row>
    <row r="5" spans="1:8" x14ac:dyDescent="0.25">
      <c r="A5" s="6" t="s">
        <v>13</v>
      </c>
      <c r="B5" s="5">
        <v>5000</v>
      </c>
      <c r="C5" s="5">
        <v>6000</v>
      </c>
      <c r="D5" s="5">
        <v>5500</v>
      </c>
      <c r="E5" s="5">
        <v>5200</v>
      </c>
      <c r="F5" s="5">
        <v>3.7</v>
      </c>
      <c r="G5" s="5">
        <v>650</v>
      </c>
      <c r="H5" s="5">
        <v>1</v>
      </c>
    </row>
    <row r="6" spans="1:8" x14ac:dyDescent="0.25">
      <c r="A6" s="4" t="s">
        <v>16</v>
      </c>
      <c r="B6" s="5">
        <v>15000</v>
      </c>
      <c r="C6" s="5">
        <v>14000</v>
      </c>
      <c r="D6" s="5">
        <v>14500</v>
      </c>
      <c r="E6" s="5">
        <v>15500</v>
      </c>
      <c r="F6" s="5">
        <v>4.5</v>
      </c>
      <c r="G6" s="5">
        <v>1000</v>
      </c>
      <c r="H6" s="5">
        <v>4</v>
      </c>
    </row>
    <row r="7" spans="1:8" x14ac:dyDescent="0.25">
      <c r="A7" s="6" t="s">
        <v>15</v>
      </c>
      <c r="B7" s="5">
        <v>15000</v>
      </c>
      <c r="C7" s="5">
        <v>14000</v>
      </c>
      <c r="D7" s="5">
        <v>14500</v>
      </c>
      <c r="E7" s="5">
        <v>15500</v>
      </c>
      <c r="F7" s="5">
        <v>4.5</v>
      </c>
      <c r="G7" s="5">
        <v>1000</v>
      </c>
      <c r="H7" s="5">
        <v>4</v>
      </c>
    </row>
    <row r="8" spans="1:8" x14ac:dyDescent="0.25">
      <c r="A8" s="4" t="s">
        <v>11</v>
      </c>
      <c r="B8" s="5">
        <v>20000</v>
      </c>
      <c r="C8" s="5">
        <v>24000</v>
      </c>
      <c r="D8" s="5">
        <v>28000</v>
      </c>
      <c r="E8" s="5">
        <v>29000</v>
      </c>
      <c r="F8" s="5">
        <v>8.8999999999999986</v>
      </c>
      <c r="G8" s="5">
        <v>2000</v>
      </c>
      <c r="H8" s="5">
        <v>5</v>
      </c>
    </row>
    <row r="9" spans="1:8" x14ac:dyDescent="0.25">
      <c r="A9" s="6" t="s">
        <v>12</v>
      </c>
      <c r="B9" s="5">
        <v>8000</v>
      </c>
      <c r="C9" s="5">
        <v>9000</v>
      </c>
      <c r="D9" s="5">
        <v>11000</v>
      </c>
      <c r="E9" s="5">
        <v>13000</v>
      </c>
      <c r="F9" s="5">
        <v>4.0999999999999996</v>
      </c>
      <c r="G9" s="5">
        <v>800</v>
      </c>
      <c r="H9" s="5">
        <v>3</v>
      </c>
    </row>
    <row r="10" spans="1:8" x14ac:dyDescent="0.25">
      <c r="A10" s="6" t="s">
        <v>10</v>
      </c>
      <c r="B10" s="5">
        <v>12000</v>
      </c>
      <c r="C10" s="5">
        <v>15000</v>
      </c>
      <c r="D10" s="5">
        <v>17000</v>
      </c>
      <c r="E10" s="5">
        <v>16000</v>
      </c>
      <c r="F10" s="5">
        <v>4.8</v>
      </c>
      <c r="G10" s="5">
        <v>1200</v>
      </c>
      <c r="H10" s="5">
        <v>2</v>
      </c>
    </row>
    <row r="11" spans="1:8" x14ac:dyDescent="0.25">
      <c r="A11" s="4" t="s">
        <v>18</v>
      </c>
      <c r="B11" s="5">
        <v>37000</v>
      </c>
      <c r="C11" s="5">
        <v>37000</v>
      </c>
      <c r="D11" s="5">
        <v>37000</v>
      </c>
      <c r="E11" s="5">
        <v>39000</v>
      </c>
      <c r="F11" s="5">
        <v>8.8000000000000007</v>
      </c>
      <c r="G11" s="5">
        <v>2900</v>
      </c>
      <c r="H11" s="5">
        <v>5</v>
      </c>
    </row>
    <row r="12" spans="1:8" x14ac:dyDescent="0.25">
      <c r="A12" s="6" t="s">
        <v>19</v>
      </c>
      <c r="B12" s="5">
        <v>17000</v>
      </c>
      <c r="C12" s="5">
        <v>16000</v>
      </c>
      <c r="D12" s="5">
        <v>15000</v>
      </c>
      <c r="E12" s="5">
        <v>14000</v>
      </c>
      <c r="F12" s="5">
        <v>3.9</v>
      </c>
      <c r="G12" s="5">
        <v>900</v>
      </c>
      <c r="H12" s="5">
        <v>5</v>
      </c>
    </row>
    <row r="13" spans="1:8" x14ac:dyDescent="0.25">
      <c r="A13" s="6" t="s">
        <v>17</v>
      </c>
      <c r="B13" s="5">
        <v>20000</v>
      </c>
      <c r="C13" s="5">
        <v>21000</v>
      </c>
      <c r="D13" s="5">
        <v>22000</v>
      </c>
      <c r="E13" s="5">
        <v>25000</v>
      </c>
      <c r="F13" s="5">
        <v>4.9000000000000004</v>
      </c>
      <c r="G13" s="5">
        <v>2000</v>
      </c>
      <c r="H13" s="5">
        <v>0</v>
      </c>
    </row>
    <row r="14" spans="1:8" x14ac:dyDescent="0.25">
      <c r="A14" s="4" t="s">
        <v>41</v>
      </c>
      <c r="B14" s="5">
        <v>77000</v>
      </c>
      <c r="C14" s="5">
        <v>81000</v>
      </c>
      <c r="D14" s="5">
        <v>85000</v>
      </c>
      <c r="E14" s="5">
        <v>88700</v>
      </c>
      <c r="F14" s="5">
        <v>25.9</v>
      </c>
      <c r="G14" s="5">
        <v>6550</v>
      </c>
      <c r="H14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Problems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2025-11-22T15:50:22Z</dcterms:modified>
</cp:coreProperties>
</file>