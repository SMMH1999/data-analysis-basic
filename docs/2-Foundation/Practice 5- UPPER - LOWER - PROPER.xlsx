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-analysis-basic\docs\2-Foundation\"/>
    </mc:Choice>
  </mc:AlternateContent>
  <xr:revisionPtr revIDLastSave="0" documentId="13_ncr:1_{157EB606-FB04-4EA4-AAAC-590FA1A3CF5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Data" sheetId="1" r:id="rId1"/>
    <sheet name="Probl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3" i="2"/>
  <c r="I4" i="2"/>
  <c r="L4" i="2" s="1"/>
  <c r="I5" i="2"/>
  <c r="K5" i="2" s="1"/>
  <c r="I6" i="2"/>
  <c r="K6" i="2" s="1"/>
  <c r="I7" i="2"/>
  <c r="K7" i="2" s="1"/>
  <c r="I3" i="2"/>
  <c r="K3" i="2" s="1"/>
  <c r="L5" i="2"/>
  <c r="L7" i="2"/>
  <c r="L3" i="2"/>
  <c r="J4" i="2"/>
  <c r="J5" i="2"/>
  <c r="J6" i="2"/>
  <c r="J7" i="2"/>
  <c r="J3" i="2"/>
  <c r="H4" i="2"/>
  <c r="H5" i="2"/>
  <c r="H6" i="2"/>
  <c r="H7" i="2"/>
  <c r="H3" i="2"/>
  <c r="G4" i="2"/>
  <c r="G5" i="2"/>
  <c r="G6" i="2"/>
  <c r="G7" i="2"/>
  <c r="G3" i="2"/>
  <c r="K4" i="2" l="1"/>
  <c r="L6" i="2"/>
</calcChain>
</file>

<file path=xl/sharedStrings.xml><?xml version="1.0" encoding="utf-8"?>
<sst xmlns="http://schemas.openxmlformats.org/spreadsheetml/2006/main" count="64" uniqueCount="39">
  <si>
    <t>ID</t>
  </si>
  <si>
    <t>Raw_Name</t>
  </si>
  <si>
    <t>Email</t>
  </si>
  <si>
    <t>City</t>
  </si>
  <si>
    <t>Notes</t>
  </si>
  <si>
    <t>SARA_MORADI</t>
  </si>
  <si>
    <t>SARA.MR@MAIL.COM</t>
  </si>
  <si>
    <t>teHraN</t>
  </si>
  <si>
    <t>vip-user</t>
  </si>
  <si>
    <t>amir.karimi</t>
  </si>
  <si>
    <t>AMIR_K@GMAIL.COM</t>
  </si>
  <si>
    <t>isFaHan</t>
  </si>
  <si>
    <t>pending-VERIFY</t>
  </si>
  <si>
    <t>NEDA__AHMADI</t>
  </si>
  <si>
    <t>neda.a@Mail.Com</t>
  </si>
  <si>
    <t>taBrIz</t>
  </si>
  <si>
    <t>urgent-followUP</t>
  </si>
  <si>
    <t>reza_morad</t>
  </si>
  <si>
    <t>Reza.M@ymail.com</t>
  </si>
  <si>
    <t>SHIraZ</t>
  </si>
  <si>
    <t>old-RECORD</t>
  </si>
  <si>
    <t>LiDa-mr</t>
  </si>
  <si>
    <t>LIDA@GMAIL.COM</t>
  </si>
  <si>
    <t>maShHad</t>
  </si>
  <si>
    <t>vip-USER</t>
  </si>
  <si>
    <t>Problem-1</t>
  </si>
  <si>
    <t>Problem-2</t>
  </si>
  <si>
    <t>Problem-3</t>
  </si>
  <si>
    <t>Problem-4</t>
  </si>
  <si>
    <t>Problem-5</t>
  </si>
  <si>
    <t>Problem-6</t>
  </si>
  <si>
    <t>Problem-7</t>
  </si>
  <si>
    <t>Name_lower</t>
  </si>
  <si>
    <t>Email_clean</t>
  </si>
  <si>
    <t>Proper_Name</t>
  </si>
  <si>
    <t>City_Clean</t>
  </si>
  <si>
    <t xml:space="preserve">Username </t>
  </si>
  <si>
    <t>Full Display Name</t>
  </si>
  <si>
    <t>Clean_Note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</si>
</sst>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11" sqref="C11"/>
    </sheetView>
  </sheetViews>
  <sheetFormatPr defaultRowHeight="15" x14ac:dyDescent="0.25"/>
  <cols>
    <col min="1" max="1" width="2.85546875" style="1" bestFit="1" customWidth="1"/>
    <col min="2" max="2" width="15.5703125" style="1" bestFit="1" customWidth="1"/>
    <col min="3" max="3" width="20.5703125" style="1" bestFit="1" customWidth="1"/>
    <col min="4" max="4" width="9.28515625" style="1" bestFit="1" customWidth="1"/>
    <col min="5" max="5" width="15.8554687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25">
      <c r="A4" s="1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25">
      <c r="A5" s="1">
        <v>4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x14ac:dyDescent="0.25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AED-8E3A-427D-B86D-4E16F28B70F6}">
  <dimension ref="A1:M7"/>
  <sheetViews>
    <sheetView tabSelected="1" workbookViewId="0">
      <selection activeCell="N12" sqref="N12"/>
    </sheetView>
  </sheetViews>
  <sheetFormatPr defaultRowHeight="15" x14ac:dyDescent="0.25"/>
  <cols>
    <col min="1" max="1" width="2.85546875" style="1" bestFit="1" customWidth="1"/>
    <col min="2" max="2" width="15.5703125" style="1" bestFit="1" customWidth="1"/>
    <col min="3" max="3" width="20.5703125" style="1" bestFit="1" customWidth="1"/>
    <col min="4" max="4" width="9.28515625" style="1" bestFit="1" customWidth="1"/>
    <col min="5" max="5" width="15.85546875" style="1" bestFit="1" customWidth="1"/>
    <col min="6" max="6" width="9.140625" style="1"/>
    <col min="7" max="7" width="14.140625" style="1" bestFit="1" customWidth="1"/>
    <col min="8" max="8" width="18.28515625" style="1" bestFit="1" customWidth="1"/>
    <col min="9" max="9" width="13.42578125" style="1" bestFit="1" customWidth="1"/>
    <col min="10" max="10" width="10.42578125" style="1" bestFit="1" customWidth="1"/>
    <col min="11" max="11" width="12.5703125" style="1" bestFit="1" customWidth="1"/>
    <col min="12" max="12" width="19.28515625" style="1" bestFit="1" customWidth="1"/>
    <col min="13" max="13" width="15.85546875" style="1" bestFit="1" customWidth="1"/>
    <col min="14" max="16384" width="9.140625" style="1"/>
  </cols>
  <sheetData>
    <row r="1" spans="1:13" ht="30" customHeight="1" x14ac:dyDescent="0.25"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</row>
    <row r="3" spans="1:13" x14ac:dyDescent="0.25">
      <c r="A3" s="1">
        <v>1</v>
      </c>
      <c r="B3" s="1" t="s">
        <v>5</v>
      </c>
      <c r="C3" s="1" t="s">
        <v>6</v>
      </c>
      <c r="D3" s="1" t="s">
        <v>7</v>
      </c>
      <c r="E3" s="1" t="s">
        <v>8</v>
      </c>
      <c r="G3" s="1" t="str">
        <f>LOWER(B3)</f>
        <v>sara_moradi</v>
      </c>
      <c r="H3" s="1" t="str">
        <f>LOWER(C3)</f>
        <v>sara.mr@mail.com</v>
      </c>
      <c r="I3" s="1" t="str">
        <f>PROPER(SUBSTITUTE(SUBSTITUTE(SUBSTITUTE(SUBSTITUTE(B3,"__"," "),"_"," "),"."," "),"-"," "))</f>
        <v>Sara Moradi</v>
      </c>
      <c r="J3" s="1" t="str">
        <f>PROPER(LOWER(D3))</f>
        <v>Tehran</v>
      </c>
      <c r="K3" s="1" t="str">
        <f>SUBSTITUTE(SUBSTITUTE(LOWER(I3)," ","."),"..",".")</f>
        <v>sara.moradi</v>
      </c>
      <c r="L3" s="1" t="str">
        <f>_xlfn.CONCAT(I3,"-",J3)</f>
        <v>Sara Moradi-Tehran</v>
      </c>
      <c r="M3" s="1" t="str">
        <f>PROPER(SUBSTITUTE(SUBSTITUTE(SUBSTITUTE(LOWER(E3),"-"," "),"urgent","URGENT"),"vip","VIP USER"))</f>
        <v>Vip User User</v>
      </c>
    </row>
    <row r="4" spans="1:13" x14ac:dyDescent="0.25">
      <c r="A4" s="1">
        <v>2</v>
      </c>
      <c r="B4" s="1" t="s">
        <v>9</v>
      </c>
      <c r="C4" s="1" t="s">
        <v>10</v>
      </c>
      <c r="D4" s="1" t="s">
        <v>11</v>
      </c>
      <c r="E4" s="1" t="s">
        <v>12</v>
      </c>
      <c r="G4" s="1" t="str">
        <f t="shared" ref="G4:G7" si="0">LOWER(B4)</f>
        <v>amir.karimi</v>
      </c>
      <c r="H4" s="1" t="str">
        <f t="shared" ref="H4:H7" si="1">LOWER(C4)</f>
        <v>amir_k@gmail.com</v>
      </c>
      <c r="I4" s="1" t="str">
        <f t="shared" ref="I4:I7" si="2">PROPER(SUBSTITUTE(SUBSTITUTE(SUBSTITUTE(SUBSTITUTE(B4,"__"," "),"_"," "),"."," "),"-"," "))</f>
        <v>Amir Karimi</v>
      </c>
      <c r="J4" s="1" t="str">
        <f t="shared" ref="J4:J7" si="3">PROPER(LOWER(D4))</f>
        <v>Isfahan</v>
      </c>
      <c r="K4" s="1" t="str">
        <f t="shared" ref="K4:K7" si="4">SUBSTITUTE(SUBSTITUTE(LOWER(I4)," ","."),"..",".")</f>
        <v>amir.karimi</v>
      </c>
      <c r="L4" s="1" t="str">
        <f t="shared" ref="L4:L7" si="5">_xlfn.CONCAT(I4,"-",J4)</f>
        <v>Amir Karimi-Isfahan</v>
      </c>
      <c r="M4" s="1" t="str">
        <f t="shared" ref="M4:M7" si="6">PROPER(SUBSTITUTE(SUBSTITUTE(SUBSTITUTE(LOWER(E4),"-"," "),"urgent","URGENT"),"vip","VIP USER"))</f>
        <v>Pending Verify</v>
      </c>
    </row>
    <row r="5" spans="1:13" x14ac:dyDescent="0.25">
      <c r="A5" s="1">
        <v>3</v>
      </c>
      <c r="B5" s="1" t="s">
        <v>13</v>
      </c>
      <c r="C5" s="1" t="s">
        <v>14</v>
      </c>
      <c r="D5" s="1" t="s">
        <v>15</v>
      </c>
      <c r="E5" s="1" t="s">
        <v>16</v>
      </c>
      <c r="G5" s="1" t="str">
        <f t="shared" si="0"/>
        <v>neda__ahmadi</v>
      </c>
      <c r="H5" s="1" t="str">
        <f t="shared" si="1"/>
        <v>neda.a@mail.com</v>
      </c>
      <c r="I5" s="1" t="str">
        <f t="shared" si="2"/>
        <v>Neda Ahmadi</v>
      </c>
      <c r="J5" s="1" t="str">
        <f t="shared" si="3"/>
        <v>Tabriz</v>
      </c>
      <c r="K5" s="1" t="str">
        <f t="shared" si="4"/>
        <v>neda.ahmadi</v>
      </c>
      <c r="L5" s="1" t="str">
        <f t="shared" si="5"/>
        <v>Neda Ahmadi-Tabriz</v>
      </c>
      <c r="M5" s="1" t="str">
        <f t="shared" si="6"/>
        <v>Urgent Followup</v>
      </c>
    </row>
    <row r="6" spans="1:13" x14ac:dyDescent="0.25">
      <c r="A6" s="1">
        <v>4</v>
      </c>
      <c r="B6" s="1" t="s">
        <v>17</v>
      </c>
      <c r="C6" s="1" t="s">
        <v>18</v>
      </c>
      <c r="D6" s="1" t="s">
        <v>19</v>
      </c>
      <c r="E6" s="1" t="s">
        <v>20</v>
      </c>
      <c r="G6" s="1" t="str">
        <f t="shared" si="0"/>
        <v>reza_morad</v>
      </c>
      <c r="H6" s="1" t="str">
        <f t="shared" si="1"/>
        <v>reza.m@ymail.com</v>
      </c>
      <c r="I6" s="1" t="str">
        <f t="shared" si="2"/>
        <v>Reza Morad</v>
      </c>
      <c r="J6" s="1" t="str">
        <f t="shared" si="3"/>
        <v>Shiraz</v>
      </c>
      <c r="K6" s="1" t="str">
        <f t="shared" si="4"/>
        <v>reza.morad</v>
      </c>
      <c r="L6" s="1" t="str">
        <f t="shared" si="5"/>
        <v>Reza Morad-Shiraz</v>
      </c>
      <c r="M6" s="1" t="str">
        <f t="shared" si="6"/>
        <v>Old Record</v>
      </c>
    </row>
    <row r="7" spans="1:13" x14ac:dyDescent="0.25">
      <c r="A7" s="1">
        <v>5</v>
      </c>
      <c r="B7" s="1" t="s">
        <v>21</v>
      </c>
      <c r="C7" s="1" t="s">
        <v>22</v>
      </c>
      <c r="D7" s="1" t="s">
        <v>23</v>
      </c>
      <c r="E7" s="1" t="s">
        <v>24</v>
      </c>
      <c r="G7" s="1" t="str">
        <f t="shared" si="0"/>
        <v>lida-mr</v>
      </c>
      <c r="H7" s="1" t="str">
        <f t="shared" si="1"/>
        <v>lida@gmail.com</v>
      </c>
      <c r="I7" s="1" t="str">
        <f t="shared" si="2"/>
        <v>Lida Mr</v>
      </c>
      <c r="J7" s="1" t="str">
        <f t="shared" si="3"/>
        <v>Mashhad</v>
      </c>
      <c r="K7" s="1" t="str">
        <f t="shared" si="4"/>
        <v>lida.mr</v>
      </c>
      <c r="L7" s="1" t="str">
        <f t="shared" si="5"/>
        <v>Lida Mr-Mashhad</v>
      </c>
      <c r="M7" s="1" t="str">
        <f t="shared" si="6"/>
        <v>Vip User User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Mohammad Mahdi Hashemi</dc:creator>
  <cp:lastModifiedBy>Seyed Mohammad Mahdi Hashemi</cp:lastModifiedBy>
  <dcterms:created xsi:type="dcterms:W3CDTF">2015-06-05T18:17:20Z</dcterms:created>
  <dcterms:modified xsi:type="dcterms:W3CDTF">2025-11-22T14:06:03Z</dcterms:modified>
</cp:coreProperties>
</file>