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-analysis-basic\docs\2-Foundation\"/>
    </mc:Choice>
  </mc:AlternateContent>
  <xr:revisionPtr revIDLastSave="0" documentId="13_ncr:1_{2E8076FF-C8F9-43A5-B366-E68A1F6FDF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Probl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4" i="2"/>
  <c r="M5" i="2"/>
  <c r="M6" i="2"/>
  <c r="M7" i="2"/>
  <c r="M8" i="2"/>
  <c r="M4" i="2"/>
  <c r="K5" i="2"/>
  <c r="K6" i="2"/>
  <c r="K7" i="2"/>
  <c r="K8" i="2"/>
  <c r="K4" i="2"/>
  <c r="J5" i="2"/>
  <c r="J6" i="2"/>
  <c r="J7" i="2"/>
  <c r="J8" i="2"/>
  <c r="J4" i="2"/>
  <c r="I5" i="2"/>
  <c r="I6" i="2"/>
  <c r="I7" i="2"/>
  <c r="I8" i="2"/>
  <c r="I4" i="2"/>
</calcChain>
</file>

<file path=xl/sharedStrings.xml><?xml version="1.0" encoding="utf-8"?>
<sst xmlns="http://schemas.openxmlformats.org/spreadsheetml/2006/main" count="119" uniqueCount="59">
  <si>
    <t>Student ID</t>
  </si>
  <si>
    <t>Name</t>
  </si>
  <si>
    <t>Major</t>
  </si>
  <si>
    <t>S101</t>
  </si>
  <si>
    <t>Sara</t>
  </si>
  <si>
    <t>Economics</t>
  </si>
  <si>
    <t>S102</t>
  </si>
  <si>
    <t>Amir</t>
  </si>
  <si>
    <t>Engineering</t>
  </si>
  <si>
    <t>S103</t>
  </si>
  <si>
    <t>Neda</t>
  </si>
  <si>
    <t>Mathematics</t>
  </si>
  <si>
    <t>S104</t>
  </si>
  <si>
    <t>Reza</t>
  </si>
  <si>
    <t>Physics</t>
  </si>
  <si>
    <t>S105</t>
  </si>
  <si>
    <t>Lida</t>
  </si>
  <si>
    <t>Computer Science</t>
  </si>
  <si>
    <t xml:space="preserve">Student Grades </t>
  </si>
  <si>
    <t>Scores Table</t>
  </si>
  <si>
    <t>Midterm</t>
  </si>
  <si>
    <t>Final</t>
  </si>
  <si>
    <t xml:space="preserve">Product Lookup </t>
  </si>
  <si>
    <t>Product Code</t>
  </si>
  <si>
    <t>Product Name</t>
  </si>
  <si>
    <t>Category</t>
  </si>
  <si>
    <t>Price</t>
  </si>
  <si>
    <t>P01</t>
  </si>
  <si>
    <t>Laptop X14</t>
  </si>
  <si>
    <t>Electronics</t>
  </si>
  <si>
    <t>P02</t>
  </si>
  <si>
    <t>Mouse MX</t>
  </si>
  <si>
    <t>P03</t>
  </si>
  <si>
    <t>Chair Comfort</t>
  </si>
  <si>
    <t>Furniture</t>
  </si>
  <si>
    <t>P04</t>
  </si>
  <si>
    <t>Desk Home</t>
  </si>
  <si>
    <t>P05</t>
  </si>
  <si>
    <t>Bottle Max</t>
  </si>
  <si>
    <t>Household</t>
  </si>
  <si>
    <t>Problem-1</t>
  </si>
  <si>
    <t>Problem-2</t>
  </si>
  <si>
    <t>Problem-3</t>
  </si>
  <si>
    <t>Problem-4</t>
  </si>
  <si>
    <t>Problem-5</t>
  </si>
  <si>
    <t>Problem-6</t>
  </si>
  <si>
    <t>Problem-7</t>
  </si>
  <si>
    <t>Problem-8</t>
  </si>
  <si>
    <t>Problem-9</t>
  </si>
  <si>
    <t>Student_Name</t>
  </si>
  <si>
    <t>Student_Major</t>
  </si>
  <si>
    <t xml:space="preserve">Final </t>
  </si>
  <si>
    <t>Sum</t>
  </si>
  <si>
    <t>Average</t>
  </si>
  <si>
    <t>Running Total</t>
  </si>
  <si>
    <t>Count</t>
  </si>
  <si>
    <t>Final_Safe</t>
  </si>
  <si>
    <t xml:space="preserve">Average 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</si>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</sst>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M18" sqref="M18"/>
    </sheetView>
  </sheetViews>
  <sheetFormatPr defaultRowHeight="14.4" x14ac:dyDescent="0.3"/>
  <cols>
    <col min="1" max="1" width="12" style="2" bestFit="1" customWidth="1"/>
    <col min="2" max="2" width="12.6640625" style="2" bestFit="1" customWidth="1"/>
    <col min="3" max="3" width="15.77734375" style="2" bestFit="1" customWidth="1"/>
    <col min="4" max="4" width="6" style="2" bestFit="1" customWidth="1"/>
    <col min="5" max="5" width="9.44140625" style="2" bestFit="1" customWidth="1"/>
    <col min="6" max="6" width="8" style="2" bestFit="1" customWidth="1"/>
    <col min="7" max="7" width="4.77734375" style="2" bestFit="1" customWidth="1"/>
    <col min="8" max="16384" width="8.88671875" style="2"/>
  </cols>
  <sheetData>
    <row r="1" spans="1:7" x14ac:dyDescent="0.3">
      <c r="A1" s="3" t="s">
        <v>18</v>
      </c>
      <c r="B1" s="3"/>
      <c r="C1" s="3"/>
      <c r="E1" s="3" t="s">
        <v>19</v>
      </c>
      <c r="F1" s="3"/>
      <c r="G1" s="3"/>
    </row>
    <row r="2" spans="1:7" x14ac:dyDescent="0.3">
      <c r="A2" s="2" t="s">
        <v>0</v>
      </c>
      <c r="B2" s="2" t="s">
        <v>1</v>
      </c>
      <c r="C2" s="2" t="s">
        <v>2</v>
      </c>
      <c r="E2" s="2" t="s">
        <v>0</v>
      </c>
      <c r="F2" s="2" t="s">
        <v>20</v>
      </c>
      <c r="G2" s="2" t="s">
        <v>21</v>
      </c>
    </row>
    <row r="3" spans="1:7" x14ac:dyDescent="0.3">
      <c r="A3" s="2" t="s">
        <v>3</v>
      </c>
      <c r="B3" s="2" t="s">
        <v>4</v>
      </c>
      <c r="C3" s="2" t="s">
        <v>5</v>
      </c>
      <c r="E3" s="2" t="s">
        <v>3</v>
      </c>
      <c r="F3" s="2">
        <v>88</v>
      </c>
      <c r="G3" s="2">
        <v>91</v>
      </c>
    </row>
    <row r="4" spans="1:7" x14ac:dyDescent="0.3">
      <c r="A4" s="2" t="s">
        <v>6</v>
      </c>
      <c r="B4" s="2" t="s">
        <v>7</v>
      </c>
      <c r="C4" s="2" t="s">
        <v>8</v>
      </c>
      <c r="E4" s="2" t="s">
        <v>6</v>
      </c>
      <c r="F4" s="2">
        <v>72</v>
      </c>
      <c r="G4" s="2">
        <v>80</v>
      </c>
    </row>
    <row r="5" spans="1:7" x14ac:dyDescent="0.3">
      <c r="A5" s="2" t="s">
        <v>9</v>
      </c>
      <c r="B5" s="2" t="s">
        <v>10</v>
      </c>
      <c r="C5" s="2" t="s">
        <v>11</v>
      </c>
      <c r="E5" s="2" t="s">
        <v>9</v>
      </c>
      <c r="F5" s="2">
        <v>95</v>
      </c>
      <c r="G5" s="2">
        <v>94</v>
      </c>
    </row>
    <row r="6" spans="1:7" x14ac:dyDescent="0.3">
      <c r="A6" s="2" t="s">
        <v>12</v>
      </c>
      <c r="B6" s="2" t="s">
        <v>13</v>
      </c>
      <c r="C6" s="2" t="s">
        <v>14</v>
      </c>
      <c r="E6" s="2" t="s">
        <v>12</v>
      </c>
      <c r="F6" s="2">
        <v>60</v>
      </c>
      <c r="G6" s="2">
        <v>70</v>
      </c>
    </row>
    <row r="7" spans="1:7" x14ac:dyDescent="0.3">
      <c r="A7" s="2" t="s">
        <v>15</v>
      </c>
      <c r="B7" s="2" t="s">
        <v>16</v>
      </c>
      <c r="C7" s="2" t="s">
        <v>17</v>
      </c>
      <c r="E7" s="2" t="s">
        <v>15</v>
      </c>
      <c r="F7" s="2">
        <v>84</v>
      </c>
      <c r="G7" s="2">
        <v>89</v>
      </c>
    </row>
    <row r="10" spans="1:7" x14ac:dyDescent="0.3">
      <c r="A10" s="3" t="s">
        <v>22</v>
      </c>
      <c r="B10" s="3"/>
      <c r="C10" s="3"/>
      <c r="D10" s="3"/>
    </row>
    <row r="11" spans="1:7" x14ac:dyDescent="0.3">
      <c r="A11" s="2" t="s">
        <v>23</v>
      </c>
      <c r="B11" s="2" t="s">
        <v>24</v>
      </c>
      <c r="C11" s="2" t="s">
        <v>25</v>
      </c>
      <c r="D11" s="2" t="s">
        <v>26</v>
      </c>
    </row>
    <row r="12" spans="1:7" x14ac:dyDescent="0.3">
      <c r="A12" s="2" t="s">
        <v>27</v>
      </c>
      <c r="B12" s="2" t="s">
        <v>28</v>
      </c>
      <c r="C12" s="2" t="s">
        <v>29</v>
      </c>
      <c r="D12" s="2">
        <v>35000</v>
      </c>
    </row>
    <row r="13" spans="1:7" x14ac:dyDescent="0.3">
      <c r="A13" s="2" t="s">
        <v>30</v>
      </c>
      <c r="B13" s="2" t="s">
        <v>31</v>
      </c>
      <c r="C13" s="2" t="s">
        <v>29</v>
      </c>
      <c r="D13" s="2">
        <v>900</v>
      </c>
    </row>
    <row r="14" spans="1:7" x14ac:dyDescent="0.3">
      <c r="A14" s="2" t="s">
        <v>32</v>
      </c>
      <c r="B14" s="2" t="s">
        <v>33</v>
      </c>
      <c r="C14" s="2" t="s">
        <v>34</v>
      </c>
      <c r="D14" s="2">
        <v>2100</v>
      </c>
    </row>
    <row r="15" spans="1:7" x14ac:dyDescent="0.3">
      <c r="A15" s="2" t="s">
        <v>35</v>
      </c>
      <c r="B15" s="2" t="s">
        <v>36</v>
      </c>
      <c r="C15" s="2" t="s">
        <v>34</v>
      </c>
      <c r="D15" s="2">
        <v>4700</v>
      </c>
    </row>
    <row r="16" spans="1:7" x14ac:dyDescent="0.3">
      <c r="A16" s="2" t="s">
        <v>37</v>
      </c>
      <c r="B16" s="2" t="s">
        <v>38</v>
      </c>
      <c r="C16" s="2" t="s">
        <v>39</v>
      </c>
      <c r="D16" s="2">
        <v>120</v>
      </c>
    </row>
  </sheetData>
  <mergeCells count="3">
    <mergeCell ref="A1:C1"/>
    <mergeCell ref="E1:G1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2BFF-910C-470C-8581-C598D96DD2F6}">
  <dimension ref="A1:Q17"/>
  <sheetViews>
    <sheetView tabSelected="1" workbookViewId="0">
      <selection activeCell="J17" sqref="J17"/>
    </sheetView>
  </sheetViews>
  <sheetFormatPr defaultRowHeight="14.4" x14ac:dyDescent="0.3"/>
  <cols>
    <col min="1" max="1" width="12" style="2" bestFit="1" customWidth="1"/>
    <col min="2" max="2" width="12.6640625" style="2" bestFit="1" customWidth="1"/>
    <col min="3" max="3" width="15.77734375" style="2" bestFit="1" customWidth="1"/>
    <col min="4" max="4" width="6" style="2" bestFit="1" customWidth="1"/>
    <col min="5" max="5" width="9.44140625" style="2" bestFit="1" customWidth="1"/>
    <col min="6" max="6" width="8" style="2" bestFit="1" customWidth="1"/>
    <col min="7" max="7" width="4.77734375" style="2" bestFit="1" customWidth="1"/>
    <col min="8" max="8" width="8.88671875" style="2"/>
    <col min="9" max="9" width="13.21875" style="2" bestFit="1" customWidth="1"/>
    <col min="10" max="10" width="15.77734375" style="2" bestFit="1" customWidth="1"/>
    <col min="11" max="13" width="9.44140625" style="2" bestFit="1" customWidth="1"/>
    <col min="14" max="14" width="11.5546875" style="2" bestFit="1" customWidth="1"/>
    <col min="15" max="17" width="9.44140625" style="2" bestFit="1" customWidth="1"/>
    <col min="18" max="16384" width="8.88671875" style="2"/>
  </cols>
  <sheetData>
    <row r="1" spans="1:17" ht="28.8" customHeight="1" x14ac:dyDescent="0.3"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</row>
    <row r="2" spans="1:17" x14ac:dyDescent="0.3">
      <c r="A2" s="3" t="s">
        <v>18</v>
      </c>
      <c r="B2" s="3"/>
      <c r="C2" s="3"/>
      <c r="E2" s="3" t="s">
        <v>19</v>
      </c>
      <c r="F2" s="3"/>
      <c r="G2" s="3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 t="s">
        <v>0</v>
      </c>
      <c r="B3" s="2" t="s">
        <v>1</v>
      </c>
      <c r="C3" s="2" t="s">
        <v>2</v>
      </c>
      <c r="E3" s="2" t="s">
        <v>0</v>
      </c>
      <c r="F3" s="2" t="s">
        <v>20</v>
      </c>
      <c r="G3" s="2" t="s">
        <v>21</v>
      </c>
      <c r="I3" s="2" t="s">
        <v>49</v>
      </c>
      <c r="J3" s="2" t="s">
        <v>50</v>
      </c>
      <c r="K3" s="2" t="s">
        <v>51</v>
      </c>
      <c r="L3" s="2" t="s">
        <v>56</v>
      </c>
      <c r="M3" s="2" t="s">
        <v>57</v>
      </c>
      <c r="N3" s="2" t="s">
        <v>58</v>
      </c>
    </row>
    <row r="4" spans="1:17" x14ac:dyDescent="0.3">
      <c r="A4" s="2" t="s">
        <v>3</v>
      </c>
      <c r="B4" s="2" t="s">
        <v>4</v>
      </c>
      <c r="C4" s="2" t="s">
        <v>5</v>
      </c>
      <c r="E4" s="2" t="s">
        <v>3</v>
      </c>
      <c r="F4" s="2">
        <v>88</v>
      </c>
      <c r="G4" s="2">
        <v>91</v>
      </c>
      <c r="I4" s="2" t="str">
        <f>VLOOKUP(A4,A4:C8,2,FALSE)</f>
        <v>Sara</v>
      </c>
      <c r="J4" s="2" t="str">
        <f>VLOOKUP(A4,A4:C8,3,FALSE)</f>
        <v>Economics</v>
      </c>
      <c r="K4" s="2">
        <f>VLOOKUP(E4,E4:G8,3,FALSE)</f>
        <v>91</v>
      </c>
      <c r="M4" s="2">
        <f>(VLOOKUP(E4,E4:G8,2,FALSE)+VLOOKUP(E4,E4:G8,3,FALSE))/2</f>
        <v>89.5</v>
      </c>
      <c r="N4" s="2" t="str">
        <f>IF((VLOOKUP(E4,E4:G8,2,FALSE)+VLOOKUP(E4,E4:G8,3,FALSE))/2&gt;=85,"Excellent",IF((VLOOKUP(E4,E4:G8,2,FALSE)+VLOOKUP(E4,E4:G8,3,FALSE))/2&lt;70,"Weak","Good"))</f>
        <v>Excellent</v>
      </c>
    </row>
    <row r="5" spans="1:17" x14ac:dyDescent="0.3">
      <c r="A5" s="2" t="s">
        <v>6</v>
      </c>
      <c r="B5" s="2" t="s">
        <v>7</v>
      </c>
      <c r="C5" s="2" t="s">
        <v>8</v>
      </c>
      <c r="E5" s="2" t="s">
        <v>6</v>
      </c>
      <c r="F5" s="2">
        <v>72</v>
      </c>
      <c r="G5" s="2">
        <v>80</v>
      </c>
      <c r="I5" s="2" t="str">
        <f t="shared" ref="I5:I8" si="0">VLOOKUP(A5,A5:C9,2,FALSE)</f>
        <v>Amir</v>
      </c>
      <c r="J5" s="2" t="str">
        <f t="shared" ref="J5:J8" si="1">VLOOKUP(A5,A5:C9,3,FALSE)</f>
        <v>Engineering</v>
      </c>
      <c r="K5" s="2">
        <f t="shared" ref="K5:K8" si="2">VLOOKUP(E5,E5:G9,3,FALSE)</f>
        <v>80</v>
      </c>
      <c r="M5" s="2">
        <f t="shared" ref="M5:M8" si="3">(VLOOKUP(E5,E5:G9,2,FALSE)+VLOOKUP(E5,E5:G9,3,FALSE))/2</f>
        <v>76</v>
      </c>
      <c r="N5" s="2" t="str">
        <f t="shared" ref="N5:N8" si="4">IF((VLOOKUP(E5,E5:G9,2,FALSE)+VLOOKUP(E5,E5:G9,3,FALSE))/2&gt;=85,"Excellent",IF((VLOOKUP(E5,E5:G9,2,FALSE)+VLOOKUP(E5,E5:G9,3,FALSE))/2&lt;70,"Weak","Good"))</f>
        <v>Good</v>
      </c>
    </row>
    <row r="6" spans="1:17" x14ac:dyDescent="0.3">
      <c r="A6" s="2" t="s">
        <v>9</v>
      </c>
      <c r="B6" s="2" t="s">
        <v>10</v>
      </c>
      <c r="C6" s="2" t="s">
        <v>11</v>
      </c>
      <c r="E6" s="2" t="s">
        <v>9</v>
      </c>
      <c r="F6" s="2">
        <v>95</v>
      </c>
      <c r="G6" s="2">
        <v>94</v>
      </c>
      <c r="I6" s="2" t="str">
        <f t="shared" si="0"/>
        <v>Neda</v>
      </c>
      <c r="J6" s="2" t="str">
        <f t="shared" si="1"/>
        <v>Mathematics</v>
      </c>
      <c r="K6" s="2">
        <f t="shared" si="2"/>
        <v>94</v>
      </c>
      <c r="M6" s="2">
        <f t="shared" si="3"/>
        <v>94.5</v>
      </c>
      <c r="N6" s="2" t="str">
        <f t="shared" si="4"/>
        <v>Excellent</v>
      </c>
    </row>
    <row r="7" spans="1:17" x14ac:dyDescent="0.3">
      <c r="A7" s="2" t="s">
        <v>12</v>
      </c>
      <c r="B7" s="2" t="s">
        <v>13</v>
      </c>
      <c r="C7" s="2" t="s">
        <v>14</v>
      </c>
      <c r="E7" s="2" t="s">
        <v>12</v>
      </c>
      <c r="F7" s="2">
        <v>60</v>
      </c>
      <c r="G7" s="2">
        <v>70</v>
      </c>
      <c r="I7" s="2" t="str">
        <f t="shared" si="0"/>
        <v>Reza</v>
      </c>
      <c r="J7" s="2" t="str">
        <f t="shared" si="1"/>
        <v>Physics</v>
      </c>
      <c r="K7" s="2">
        <f t="shared" si="2"/>
        <v>70</v>
      </c>
      <c r="M7" s="2">
        <f t="shared" si="3"/>
        <v>65</v>
      </c>
      <c r="N7" s="2" t="str">
        <f t="shared" si="4"/>
        <v>Weak</v>
      </c>
    </row>
    <row r="8" spans="1:17" x14ac:dyDescent="0.3">
      <c r="A8" s="2" t="s">
        <v>15</v>
      </c>
      <c r="B8" s="2" t="s">
        <v>16</v>
      </c>
      <c r="C8" s="2" t="s">
        <v>17</v>
      </c>
      <c r="E8" s="2" t="s">
        <v>15</v>
      </c>
      <c r="F8" s="2">
        <v>84</v>
      </c>
      <c r="G8" s="2">
        <v>89</v>
      </c>
      <c r="I8" s="2" t="str">
        <f t="shared" si="0"/>
        <v>Lida</v>
      </c>
      <c r="J8" s="2" t="str">
        <f t="shared" si="1"/>
        <v>Computer Science</v>
      </c>
      <c r="K8" s="2">
        <f t="shared" si="2"/>
        <v>89</v>
      </c>
      <c r="M8" s="2">
        <f t="shared" si="3"/>
        <v>86.5</v>
      </c>
      <c r="N8" s="2" t="str">
        <f t="shared" si="4"/>
        <v>Excellent</v>
      </c>
    </row>
    <row r="11" spans="1:17" x14ac:dyDescent="0.3">
      <c r="A11" s="3" t="s">
        <v>22</v>
      </c>
      <c r="B11" s="3"/>
      <c r="C11" s="3"/>
      <c r="D11" s="3"/>
    </row>
    <row r="12" spans="1:17" x14ac:dyDescent="0.3">
      <c r="A12" s="2" t="s">
        <v>23</v>
      </c>
      <c r="B12" s="2" t="s">
        <v>24</v>
      </c>
      <c r="C12" s="2" t="s">
        <v>25</v>
      </c>
      <c r="D12" s="2" t="s">
        <v>26</v>
      </c>
    </row>
    <row r="13" spans="1:17" x14ac:dyDescent="0.3">
      <c r="A13" s="2" t="s">
        <v>27</v>
      </c>
      <c r="B13" s="2" t="s">
        <v>28</v>
      </c>
      <c r="C13" s="2" t="s">
        <v>29</v>
      </c>
      <c r="D13" s="2">
        <v>35000</v>
      </c>
    </row>
    <row r="14" spans="1:17" x14ac:dyDescent="0.3">
      <c r="A14" s="2" t="s">
        <v>30</v>
      </c>
      <c r="B14" s="2" t="s">
        <v>31</v>
      </c>
      <c r="C14" s="2" t="s">
        <v>29</v>
      </c>
      <c r="D14" s="2">
        <v>900</v>
      </c>
    </row>
    <row r="15" spans="1:17" x14ac:dyDescent="0.3">
      <c r="A15" s="2" t="s">
        <v>32</v>
      </c>
      <c r="B15" s="2" t="s">
        <v>33</v>
      </c>
      <c r="C15" s="2" t="s">
        <v>34</v>
      </c>
      <c r="D15" s="2">
        <v>2100</v>
      </c>
    </row>
    <row r="16" spans="1:17" x14ac:dyDescent="0.3">
      <c r="A16" s="2" t="s">
        <v>35</v>
      </c>
      <c r="B16" s="2" t="s">
        <v>36</v>
      </c>
      <c r="C16" s="2" t="s">
        <v>34</v>
      </c>
      <c r="D16" s="2">
        <v>4700</v>
      </c>
    </row>
    <row r="17" spans="1:4" x14ac:dyDescent="0.3">
      <c r="A17" s="2" t="s">
        <v>37</v>
      </c>
      <c r="B17" s="2" t="s">
        <v>38</v>
      </c>
      <c r="C17" s="2" t="s">
        <v>39</v>
      </c>
      <c r="D17" s="2">
        <v>120</v>
      </c>
    </row>
  </sheetData>
  <mergeCells count="12">
    <mergeCell ref="L1:L2"/>
    <mergeCell ref="M1:M2"/>
    <mergeCell ref="N1:N2"/>
    <mergeCell ref="O1:O2"/>
    <mergeCell ref="P1:P2"/>
    <mergeCell ref="Q1:Q2"/>
    <mergeCell ref="A2:C2"/>
    <mergeCell ref="E2:G2"/>
    <mergeCell ref="A11:D11"/>
    <mergeCell ref="I1:I2"/>
    <mergeCell ref="J1:J2"/>
    <mergeCell ref="K1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Mohammad Mahdi Hashemi</dc:creator>
  <cp:lastModifiedBy>Seyed Mohammad Mahdi Hashemi</cp:lastModifiedBy>
  <dcterms:created xsi:type="dcterms:W3CDTF">2015-06-05T18:17:20Z</dcterms:created>
  <dcterms:modified xsi:type="dcterms:W3CDTF">2025-11-21T07:28:06Z</dcterms:modified>
</cp:coreProperties>
</file>