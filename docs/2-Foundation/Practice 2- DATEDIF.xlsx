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09B1F362-CF73-478E-8113-1A71DCADAB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robl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7" i="2"/>
  <c r="P3" i="2"/>
  <c r="P4" i="2"/>
  <c r="O4" i="2"/>
  <c r="O5" i="2"/>
  <c r="O6" i="2"/>
  <c r="O7" i="2"/>
  <c r="O3" i="2"/>
  <c r="N4" i="2"/>
  <c r="N5" i="2"/>
  <c r="N6" i="2"/>
  <c r="N7" i="2"/>
  <c r="N3" i="2"/>
  <c r="M4" i="2"/>
  <c r="M5" i="2"/>
  <c r="M6" i="2"/>
  <c r="M7" i="2"/>
  <c r="M3" i="2"/>
  <c r="L4" i="2"/>
  <c r="L5" i="2"/>
  <c r="L6" i="2"/>
  <c r="L7" i="2"/>
  <c r="L3" i="2"/>
  <c r="K4" i="2"/>
  <c r="K5" i="2"/>
  <c r="P5" i="2" s="1"/>
  <c r="K6" i="2"/>
  <c r="K7" i="2"/>
  <c r="K3" i="2"/>
  <c r="J4" i="2"/>
  <c r="J5" i="2"/>
  <c r="J6" i="2"/>
  <c r="J7" i="2"/>
  <c r="J3" i="2"/>
  <c r="I4" i="2"/>
  <c r="I5" i="2"/>
  <c r="I6" i="2"/>
  <c r="I7" i="2"/>
  <c r="I3" i="2"/>
</calcChain>
</file>

<file path=xl/sharedStrings.xml><?xml version="1.0" encoding="utf-8"?>
<sst xmlns="http://schemas.openxmlformats.org/spreadsheetml/2006/main" count="38" uniqueCount="26">
  <si>
    <t>ID</t>
  </si>
  <si>
    <t>Person</t>
  </si>
  <si>
    <t>Birthdate</t>
  </si>
  <si>
    <t>Hire Date</t>
  </si>
  <si>
    <t>Contract End</t>
  </si>
  <si>
    <t>Membership Start</t>
  </si>
  <si>
    <t>Membership End</t>
  </si>
  <si>
    <t>Sara</t>
  </si>
  <si>
    <t>Amir</t>
  </si>
  <si>
    <t>Neda</t>
  </si>
  <si>
    <t>Reza</t>
  </si>
  <si>
    <t>Lida</t>
  </si>
  <si>
    <t>Problem-1</t>
  </si>
  <si>
    <t>Problem-2</t>
  </si>
  <si>
    <t>Problem-3</t>
  </si>
  <si>
    <t>Problem-4</t>
  </si>
  <si>
    <t>Problem-5</t>
  </si>
  <si>
    <t>Problem-6</t>
  </si>
  <si>
    <t>Age_Years</t>
  </si>
  <si>
    <t>Work_Years</t>
  </si>
  <si>
    <t>Work_Months</t>
  </si>
  <si>
    <t>Work_Days</t>
  </si>
  <si>
    <t>Contract_Length_Months</t>
  </si>
  <si>
    <t>Renewal_Risk</t>
  </si>
  <si>
    <t>Membership_Days</t>
  </si>
  <si>
    <t>HR_Report_Text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</si>
</sst>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CEC1A-F0F1-4B2E-A072-0CB69C04EF8E}" name="Table1" displayName="Table1" ref="A2:G7" totalsRowShown="0" headerRowDxfId="0" dataDxfId="1">
  <autoFilter ref="A2:G7" xr:uid="{592CEC1A-F0F1-4B2E-A072-0CB69C04EF8E}"/>
  <tableColumns count="7">
    <tableColumn id="1" xr3:uid="{3787E00D-E1E0-4B8B-9F1B-F7ADB68749F4}" name="ID" dataDxfId="8"/>
    <tableColumn id="2" xr3:uid="{9195F357-D1BE-4554-8D05-78CA7D70EDB8}" name="Person" dataDxfId="7"/>
    <tableColumn id="3" xr3:uid="{C2045489-3560-42BF-93AC-1B0A957C2E03}" name="Birthdate" dataDxfId="6"/>
    <tableColumn id="4" xr3:uid="{7F8E03BE-86A6-473D-9DF9-C47F5ECF2CDC}" name="Hire Date" dataDxfId="5"/>
    <tableColumn id="5" xr3:uid="{682F9974-A6D5-4982-A470-F19239D787A1}" name="Contract End" dataDxfId="4"/>
    <tableColumn id="6" xr3:uid="{144CB307-2531-4457-BED3-1D170E112D23}" name="Membership Start" dataDxfId="3"/>
    <tableColumn id="7" xr3:uid="{30667468-7CD2-4A22-977A-3711C65A1742}" name="Membership E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H9" sqref="H9"/>
    </sheetView>
  </sheetViews>
  <sheetFormatPr defaultRowHeight="14.4" x14ac:dyDescent="0.3"/>
  <cols>
    <col min="1" max="1" width="2.77734375" style="1" bestFit="1" customWidth="1"/>
    <col min="2" max="2" width="6.5546875" style="1" bestFit="1" customWidth="1"/>
    <col min="3" max="3" width="10.5546875" style="1" bestFit="1" customWidth="1"/>
    <col min="4" max="4" width="9.5546875" style="1" bestFit="1" customWidth="1"/>
    <col min="5" max="5" width="11.5546875" style="1" bestFit="1" customWidth="1"/>
    <col min="6" max="6" width="15.5546875" style="1" bestFit="1" customWidth="1"/>
    <col min="7" max="7" width="14.664062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2">
        <v>35136</v>
      </c>
      <c r="D2" s="2">
        <v>43282</v>
      </c>
      <c r="E2" s="2">
        <v>45658</v>
      </c>
      <c r="F2" s="2">
        <v>44927</v>
      </c>
      <c r="G2" s="2">
        <v>45458</v>
      </c>
    </row>
    <row r="3" spans="1:7" x14ac:dyDescent="0.3">
      <c r="A3" s="1">
        <v>2</v>
      </c>
      <c r="B3" s="1" t="s">
        <v>8</v>
      </c>
      <c r="C3" s="2">
        <v>32842</v>
      </c>
      <c r="D3" s="2">
        <v>42045</v>
      </c>
      <c r="E3" s="2">
        <v>45332</v>
      </c>
      <c r="F3" s="2">
        <v>44640</v>
      </c>
      <c r="G3" s="2">
        <v>45005</v>
      </c>
    </row>
    <row r="4" spans="1:7" x14ac:dyDescent="0.3">
      <c r="A4" s="1">
        <v>3</v>
      </c>
      <c r="B4" s="1" t="s">
        <v>9</v>
      </c>
      <c r="C4" s="2">
        <v>36530</v>
      </c>
      <c r="D4" s="2">
        <v>44089</v>
      </c>
      <c r="E4" s="2">
        <v>46280</v>
      </c>
      <c r="F4" s="2">
        <v>44348</v>
      </c>
      <c r="G4" s="2">
        <v>44709</v>
      </c>
    </row>
    <row r="5" spans="1:7" x14ac:dyDescent="0.3">
      <c r="A5" s="1">
        <v>4</v>
      </c>
      <c r="B5" s="1" t="s">
        <v>10</v>
      </c>
      <c r="C5" s="2">
        <v>34568</v>
      </c>
      <c r="D5" s="2">
        <v>42830</v>
      </c>
      <c r="E5" s="2">
        <v>45291</v>
      </c>
      <c r="F5" s="2">
        <v>43831</v>
      </c>
      <c r="G5" s="2">
        <v>45292</v>
      </c>
    </row>
    <row r="6" spans="1:7" x14ac:dyDescent="0.3">
      <c r="A6" s="1">
        <v>5</v>
      </c>
      <c r="B6" s="1" t="s">
        <v>11</v>
      </c>
      <c r="C6" s="2">
        <v>36298</v>
      </c>
      <c r="D6" s="2">
        <v>44197</v>
      </c>
      <c r="E6" s="2">
        <v>47484</v>
      </c>
      <c r="F6" s="2">
        <v>45209</v>
      </c>
      <c r="G6" s="2">
        <v>45352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8E75-6E49-46EA-85D8-14E57DE82684}">
  <dimension ref="A1:P7"/>
  <sheetViews>
    <sheetView tabSelected="1" workbookViewId="0">
      <selection activeCell="I15" sqref="I15"/>
    </sheetView>
  </sheetViews>
  <sheetFormatPr defaultRowHeight="14.4" x14ac:dyDescent="0.3"/>
  <cols>
    <col min="1" max="1" width="4.6640625" style="1" customWidth="1"/>
    <col min="2" max="2" width="8.6640625" style="1" customWidth="1"/>
    <col min="3" max="3" width="10.6640625" style="1" customWidth="1"/>
    <col min="4" max="4" width="10.5546875" style="1" customWidth="1"/>
    <col min="5" max="5" width="13.77734375" style="1" customWidth="1"/>
    <col min="6" max="6" width="18" style="1" customWidth="1"/>
    <col min="7" max="7" width="17.21875" style="1" customWidth="1"/>
    <col min="8" max="8" width="8.88671875" style="1"/>
    <col min="9" max="9" width="9.44140625" style="1" bestFit="1" customWidth="1"/>
    <col min="10" max="10" width="16.109375" style="1" bestFit="1" customWidth="1"/>
    <col min="11" max="11" width="10.88671875" style="1" bestFit="1" customWidth="1"/>
    <col min="12" max="12" width="12.6640625" style="1" bestFit="1" customWidth="1"/>
    <col min="13" max="13" width="10.33203125" style="1" bestFit="1" customWidth="1"/>
    <col min="14" max="14" width="22.109375" style="1" bestFit="1" customWidth="1"/>
    <col min="15" max="15" width="12.21875" style="1" bestFit="1" customWidth="1"/>
    <col min="16" max="16" width="68.5546875" style="1" bestFit="1" customWidth="1"/>
    <col min="17" max="17" width="9.44140625" style="1" bestFit="1" customWidth="1"/>
    <col min="18" max="16384" width="8.88671875" style="1"/>
  </cols>
  <sheetData>
    <row r="1" spans="1:16" ht="28.8" customHeight="1" x14ac:dyDescent="0.3">
      <c r="I1" s="1" t="s">
        <v>12</v>
      </c>
      <c r="J1" s="1" t="s">
        <v>13</v>
      </c>
      <c r="K1" s="3" t="s">
        <v>14</v>
      </c>
      <c r="L1" s="3"/>
      <c r="M1" s="3"/>
      <c r="N1" s="1" t="s">
        <v>15</v>
      </c>
      <c r="O1" s="1" t="s">
        <v>16</v>
      </c>
      <c r="P1" s="1" t="s">
        <v>17</v>
      </c>
    </row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18</v>
      </c>
      <c r="J2" s="1" t="s">
        <v>24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25</v>
      </c>
    </row>
    <row r="3" spans="1:16" x14ac:dyDescent="0.3">
      <c r="A3" s="1">
        <v>1</v>
      </c>
      <c r="B3" s="1" t="s">
        <v>7</v>
      </c>
      <c r="C3" s="2">
        <v>35136</v>
      </c>
      <c r="D3" s="2">
        <v>43282</v>
      </c>
      <c r="E3" s="2">
        <v>45658</v>
      </c>
      <c r="F3" s="2">
        <v>44927</v>
      </c>
      <c r="G3" s="2">
        <v>45458</v>
      </c>
      <c r="I3" s="1">
        <f ca="1">DATEDIF(C3,TODAY(),"Y")</f>
        <v>29</v>
      </c>
      <c r="J3" s="1">
        <f>DATEDIF(F3,G3,"d")</f>
        <v>531</v>
      </c>
      <c r="K3" s="1">
        <f ca="1">DATEDIF(D3,TODAY(),"y")</f>
        <v>7</v>
      </c>
      <c r="L3" s="1">
        <f ca="1">DATEDIF(D3,TODAY(),"ym")</f>
        <v>4</v>
      </c>
      <c r="M3" s="1">
        <f ca="1">DATEDIF(D3,TODAY(),"md")</f>
        <v>19</v>
      </c>
      <c r="N3" s="1">
        <f>DATEDIF(D3,E3,"m")</f>
        <v>78</v>
      </c>
      <c r="O3" s="1" t="str">
        <f ca="1">IF(DATEDIF(G3,TODAY(),"d")&gt;=60,"High Risk",IF(DATEDIF(G3,TODAY(),"d")&lt;30,"Low Risk","Medium Risk"))</f>
        <v>High Risk</v>
      </c>
      <c r="P3" s="1" t="str">
        <f ca="1">IF(Table1[[#This Row],[Contract End]] &lt; TODAY(), Table1[[#This Row],[Person]] &amp; "'s contract has already ended.", Table1[[#This Row],[Person]] &amp; " has " &amp; K3 &amp; " years and " &amp; L3 &amp; " months of experience, and the contract ends in " &amp; DATEDIF(TODAY(),Table1[[#This Row],[Contract End]],"m") &amp; " months.")</f>
        <v>Sara's contract has already ended.</v>
      </c>
    </row>
    <row r="4" spans="1:16" x14ac:dyDescent="0.3">
      <c r="A4" s="1">
        <v>2</v>
      </c>
      <c r="B4" s="1" t="s">
        <v>8</v>
      </c>
      <c r="C4" s="2">
        <v>32842</v>
      </c>
      <c r="D4" s="2">
        <v>42045</v>
      </c>
      <c r="E4" s="2">
        <v>45332</v>
      </c>
      <c r="F4" s="2">
        <v>44640</v>
      </c>
      <c r="G4" s="2">
        <v>45005</v>
      </c>
      <c r="I4" s="1">
        <f t="shared" ref="I4:I7" ca="1" si="0">DATEDIF(C4,TODAY(),"Y")</f>
        <v>35</v>
      </c>
      <c r="J4" s="1">
        <f t="shared" ref="J4:J7" si="1">DATEDIF(F4,G4,"d")</f>
        <v>365</v>
      </c>
      <c r="K4" s="1">
        <f t="shared" ref="K4:K7" ca="1" si="2">DATEDIF(D4,TODAY(),"y")</f>
        <v>10</v>
      </c>
      <c r="L4" s="1">
        <f t="shared" ref="L4:L7" ca="1" si="3">DATEDIF(D4,TODAY(),"ym")</f>
        <v>9</v>
      </c>
      <c r="M4" s="1">
        <f t="shared" ref="M4:M7" ca="1" si="4">DATEDIF(D4,TODAY(),"md")</f>
        <v>10</v>
      </c>
      <c r="N4" s="1">
        <f t="shared" ref="N4:N7" si="5">DATEDIF(D4,E4,"m")</f>
        <v>108</v>
      </c>
      <c r="O4" s="1" t="str">
        <f t="shared" ref="O4:O7" ca="1" si="6">IF(DATEDIF(G4,TODAY(),"d")&gt;=60,"High Risk",IF(DATEDIF(G4,TODAY(),"d")&lt;30,"Low Risk","Medium Risk"))</f>
        <v>High Risk</v>
      </c>
      <c r="P4" s="1" t="str">
        <f ca="1">IF(Table1[[#This Row],[Contract End]] &lt; TODAY(), Table1[[#This Row],[Person]] &amp; "'s contract has already ended.", Table1[[#This Row],[Person]] &amp; " has " &amp; K4 &amp; " years and " &amp; L4 &amp; " months of experience, and the contract ends in " &amp; DATEDIF(TODAY(),Table1[[#This Row],[Contract End]],"m") &amp; " months.")</f>
        <v>Amir's contract has already ended.</v>
      </c>
    </row>
    <row r="5" spans="1:16" x14ac:dyDescent="0.3">
      <c r="A5" s="1">
        <v>3</v>
      </c>
      <c r="B5" s="1" t="s">
        <v>9</v>
      </c>
      <c r="C5" s="2">
        <v>36530</v>
      </c>
      <c r="D5" s="2">
        <v>44089</v>
      </c>
      <c r="E5" s="2">
        <v>46280</v>
      </c>
      <c r="F5" s="2">
        <v>44348</v>
      </c>
      <c r="G5" s="2">
        <v>44709</v>
      </c>
      <c r="I5" s="1">
        <f t="shared" ca="1" si="0"/>
        <v>25</v>
      </c>
      <c r="J5" s="1">
        <f t="shared" si="1"/>
        <v>361</v>
      </c>
      <c r="K5" s="1">
        <f t="shared" ca="1" si="2"/>
        <v>5</v>
      </c>
      <c r="L5" s="1">
        <f t="shared" ca="1" si="3"/>
        <v>2</v>
      </c>
      <c r="M5" s="1">
        <f t="shared" ca="1" si="4"/>
        <v>5</v>
      </c>
      <c r="N5" s="1">
        <f t="shared" si="5"/>
        <v>72</v>
      </c>
      <c r="O5" s="1" t="str">
        <f t="shared" ca="1" si="6"/>
        <v>High Risk</v>
      </c>
      <c r="P5" s="1" t="str">
        <f ca="1">IF(Table1[[#This Row],[Contract End]] &lt; TODAY(), Table1[[#This Row],[Person]] &amp; "'s contract has already ended.", Table1[[#This Row],[Person]] &amp; " has " &amp; K5 &amp; " years and " &amp; L5 &amp; " months of experience, and the contract ends in " &amp; DATEDIF(TODAY(),Table1[[#This Row],[Contract End]],"m") &amp; " months.")</f>
        <v>Neda has 5 years and 2 months of experience, and the contract ends in 9 months.</v>
      </c>
    </row>
    <row r="6" spans="1:16" x14ac:dyDescent="0.3">
      <c r="A6" s="1">
        <v>4</v>
      </c>
      <c r="B6" s="1" t="s">
        <v>10</v>
      </c>
      <c r="C6" s="2">
        <v>34568</v>
      </c>
      <c r="D6" s="2">
        <v>42830</v>
      </c>
      <c r="E6" s="2">
        <v>45291</v>
      </c>
      <c r="F6" s="2">
        <v>43831</v>
      </c>
      <c r="G6" s="2">
        <v>45292</v>
      </c>
      <c r="I6" s="1">
        <f t="shared" ca="1" si="0"/>
        <v>31</v>
      </c>
      <c r="J6" s="1">
        <f t="shared" si="1"/>
        <v>1461</v>
      </c>
      <c r="K6" s="1">
        <f t="shared" ca="1" si="2"/>
        <v>8</v>
      </c>
      <c r="L6" s="1">
        <f t="shared" ca="1" si="3"/>
        <v>7</v>
      </c>
      <c r="M6" s="1">
        <f t="shared" ca="1" si="4"/>
        <v>15</v>
      </c>
      <c r="N6" s="1">
        <f t="shared" si="5"/>
        <v>80</v>
      </c>
      <c r="O6" s="1" t="str">
        <f t="shared" ca="1" si="6"/>
        <v>High Risk</v>
      </c>
      <c r="P6" s="1" t="str">
        <f ca="1">IF(Table1[[#This Row],[Contract End]] &lt; TODAY(), Table1[[#This Row],[Person]] &amp; "'s contract has already ended.", Table1[[#This Row],[Person]] &amp; " has " &amp; K6 &amp; " years and " &amp; L6 &amp; " months of experience, and the contract ends in " &amp; DATEDIF(TODAY(),Table1[[#This Row],[Contract End]],"m") &amp; " months.")</f>
        <v>Reza's contract has already ended.</v>
      </c>
    </row>
    <row r="7" spans="1:16" x14ac:dyDescent="0.3">
      <c r="A7" s="1">
        <v>5</v>
      </c>
      <c r="B7" s="1" t="s">
        <v>11</v>
      </c>
      <c r="C7" s="2">
        <v>36298</v>
      </c>
      <c r="D7" s="2">
        <v>44197</v>
      </c>
      <c r="E7" s="2">
        <v>47484</v>
      </c>
      <c r="F7" s="2">
        <v>45209</v>
      </c>
      <c r="G7" s="2">
        <v>45352</v>
      </c>
      <c r="I7" s="1">
        <f t="shared" ca="1" si="0"/>
        <v>26</v>
      </c>
      <c r="J7" s="1">
        <f t="shared" si="1"/>
        <v>143</v>
      </c>
      <c r="K7" s="1">
        <f t="shared" ca="1" si="2"/>
        <v>4</v>
      </c>
      <c r="L7" s="1">
        <f t="shared" ca="1" si="3"/>
        <v>10</v>
      </c>
      <c r="M7" s="1">
        <f t="shared" ca="1" si="4"/>
        <v>19</v>
      </c>
      <c r="N7" s="1">
        <f t="shared" si="5"/>
        <v>108</v>
      </c>
      <c r="O7" s="1" t="str">
        <f t="shared" ca="1" si="6"/>
        <v>High Risk</v>
      </c>
      <c r="P7" s="1" t="str">
        <f ca="1">IF(Table1[[#This Row],[Contract End]] &lt; TODAY(), Table1[[#This Row],[Person]] &amp; "'s contract has already ended.", Table1[[#This Row],[Person]] &amp; " has " &amp; K7 &amp; " years and " &amp; L7 &amp; " months of experience, and the contract ends in " &amp; DATEDIF(TODAY(),Table1[[#This Row],[Contract End]],"m") &amp; " months.")</f>
        <v>Lida has 4 years and 10 months of experience, and the contract ends in 49 months.</v>
      </c>
    </row>
  </sheetData>
  <mergeCells count="1">
    <mergeCell ref="K1:M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2025-11-20T19:02:22Z</dcterms:modified>
</cp:coreProperties>
</file>