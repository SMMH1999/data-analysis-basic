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-analysis-basic\docs\2-Foundation\"/>
    </mc:Choice>
  </mc:AlternateContent>
  <xr:revisionPtr revIDLastSave="0" documentId="13_ncr:1_{9B45152E-8E8F-4D9E-B630-7AA5359CDABE}" xr6:coauthVersionLast="47" xr6:coauthVersionMax="47" xr10:uidLastSave="{00000000-0000-0000-0000-000000000000}"/>
  <bookViews>
    <workbookView xWindow="30612" yWindow="-108" windowWidth="23256" windowHeight="12456" activeTab="1" xr2:uid="{00000000-000D-0000-FFFF-FFFF00000000}"/>
  </bookViews>
  <sheets>
    <sheet name="Data" sheetId="1" r:id="rId1"/>
    <sheet name="Probl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3" i="2"/>
  <c r="L4" i="2"/>
  <c r="L5" i="2"/>
  <c r="L6" i="2"/>
  <c r="L7" i="2"/>
  <c r="L3" i="2"/>
  <c r="K4" i="2"/>
  <c r="K5" i="2"/>
  <c r="K6" i="2"/>
  <c r="K7" i="2"/>
  <c r="K3" i="2"/>
  <c r="J4" i="2"/>
  <c r="J5" i="2"/>
  <c r="J6" i="2"/>
  <c r="J7" i="2"/>
  <c r="J3" i="2"/>
  <c r="I4" i="2"/>
  <c r="I5" i="2"/>
  <c r="I6" i="2"/>
  <c r="I7" i="2"/>
  <c r="I3" i="2"/>
  <c r="H4" i="2"/>
  <c r="H5" i="2"/>
  <c r="H6" i="2"/>
  <c r="H7" i="2"/>
  <c r="H3" i="2"/>
  <c r="G2" i="2"/>
  <c r="G3" i="2"/>
  <c r="G4" i="2"/>
  <c r="G5" i="2"/>
  <c r="G6" i="2"/>
  <c r="G7" i="2"/>
</calcChain>
</file>

<file path=xl/sharedStrings.xml><?xml version="1.0" encoding="utf-8"?>
<sst xmlns="http://schemas.openxmlformats.org/spreadsheetml/2006/main" count="63" uniqueCount="37">
  <si>
    <t>ID</t>
  </si>
  <si>
    <t>Raw_Code</t>
  </si>
  <si>
    <t>Full_Name</t>
  </si>
  <si>
    <t>Phone</t>
  </si>
  <si>
    <t>Notes</t>
  </si>
  <si>
    <t>PRD-5589-XYZ</t>
  </si>
  <si>
    <t>sara_moradi</t>
  </si>
  <si>
    <t>0935-887-4412</t>
  </si>
  <si>
    <t>urgent-order-2024</t>
  </si>
  <si>
    <t>PRD-9921-XYZ</t>
  </si>
  <si>
    <t>amir.karimi</t>
  </si>
  <si>
    <t>0912-441-2231</t>
  </si>
  <si>
    <t>pending-review</t>
  </si>
  <si>
    <t>PRD-7710-XYZ</t>
  </si>
  <si>
    <t>neda__ahmadi</t>
  </si>
  <si>
    <t>0930-111-9988</t>
  </si>
  <si>
    <t>return-request</t>
  </si>
  <si>
    <t>PRD-3355-XYZ</t>
  </si>
  <si>
    <t>reza__morad</t>
  </si>
  <si>
    <t>0913-552-7810</t>
  </si>
  <si>
    <t>order-2023-old</t>
  </si>
  <si>
    <t>PRD-8899-XYZ</t>
  </si>
  <si>
    <t>lida-mr</t>
  </si>
  <si>
    <t>0938-220-8899</t>
  </si>
  <si>
    <t>urgent-followup</t>
  </si>
  <si>
    <t>Problem-1</t>
  </si>
  <si>
    <t>Problem-2</t>
  </si>
  <si>
    <t>Problem-3</t>
  </si>
  <si>
    <t>Problem-4</t>
  </si>
  <si>
    <t>Problem-5</t>
  </si>
  <si>
    <t>Problem-6</t>
  </si>
  <si>
    <t>Problem-7</t>
  </si>
  <si>
    <t>Prooduct Code</t>
  </si>
  <si>
    <t>Number Code</t>
  </si>
  <si>
    <t>Username</t>
  </si>
  <si>
    <t>Note CRM</t>
  </si>
  <si>
    <t>New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</si>
</sst>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16" sqref="C16"/>
    </sheetView>
  </sheetViews>
  <sheetFormatPr defaultRowHeight="14.4" x14ac:dyDescent="0.3"/>
  <cols>
    <col min="1" max="1" width="2.77734375" style="1" bestFit="1" customWidth="1"/>
    <col min="2" max="2" width="12.5546875" style="1" bestFit="1" customWidth="1"/>
    <col min="3" max="3" width="13.109375" style="1" bestFit="1" customWidth="1"/>
    <col min="4" max="4" width="13.44140625" style="1" bestFit="1" customWidth="1"/>
    <col min="5" max="5" width="16.109375" style="1" bestFit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">
      <c r="A4" s="1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3">
      <c r="A5" s="1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3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84CB-9751-4340-B399-F868BF0A96E6}">
  <dimension ref="A1:M7"/>
  <sheetViews>
    <sheetView tabSelected="1" workbookViewId="0">
      <selection activeCell="K10" sqref="K10"/>
    </sheetView>
  </sheetViews>
  <sheetFormatPr defaultRowHeight="14.4" x14ac:dyDescent="0.3"/>
  <cols>
    <col min="1" max="1" width="2.77734375" style="1" bestFit="1" customWidth="1"/>
    <col min="2" max="2" width="12.5546875" style="1" bestFit="1" customWidth="1"/>
    <col min="3" max="3" width="13.109375" style="1" bestFit="1" customWidth="1"/>
    <col min="4" max="4" width="13.44140625" style="1" bestFit="1" customWidth="1"/>
    <col min="5" max="5" width="16.109375" style="1" bestFit="1" customWidth="1"/>
    <col min="6" max="6" width="8.88671875" style="1"/>
    <col min="7" max="7" width="11.88671875" style="1" bestFit="1" customWidth="1"/>
    <col min="8" max="8" width="12.88671875" style="1" bestFit="1" customWidth="1"/>
    <col min="9" max="9" width="13.21875" style="1" bestFit="1" customWidth="1"/>
    <col min="10" max="10" width="12.21875" style="1" bestFit="1" customWidth="1"/>
    <col min="11" max="11" width="13.109375" style="1" bestFit="1" customWidth="1"/>
    <col min="12" max="12" width="18.109375" style="1" bestFit="1" customWidth="1"/>
    <col min="13" max="13" width="14.6640625" style="1" bestFit="1" customWidth="1"/>
    <col min="14" max="15" width="9.44140625" style="1" bestFit="1" customWidth="1"/>
    <col min="16" max="16384" width="8.88671875" style="1"/>
  </cols>
  <sheetData>
    <row r="1" spans="1:13" ht="28.2" customHeight="1" x14ac:dyDescent="0.3"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tr">
        <f>SUBSTITUTE(C2,"_"," ")</f>
        <v>Full Name</v>
      </c>
      <c r="H2" s="1" t="s">
        <v>3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</row>
    <row r="3" spans="1:13" x14ac:dyDescent="0.3">
      <c r="A3" s="1">
        <v>1</v>
      </c>
      <c r="B3" s="1" t="s">
        <v>5</v>
      </c>
      <c r="C3" s="1" t="s">
        <v>6</v>
      </c>
      <c r="D3" s="1" t="s">
        <v>7</v>
      </c>
      <c r="E3" s="1" t="s">
        <v>8</v>
      </c>
      <c r="G3" s="1" t="str">
        <f>SUBSTITUTE(C3,"_"," ")</f>
        <v>sara moradi</v>
      </c>
      <c r="H3" s="1" t="str">
        <f>SUBSTITUTE(D3,"-"," ")</f>
        <v>0935 887 4412</v>
      </c>
      <c r="I3" s="1" t="str">
        <f>REPLACE(B3,10,3,"IR")</f>
        <v>PRD-5589-IR</v>
      </c>
      <c r="J3" s="1" t="str">
        <f>REPLACE(REPLACE(B3,1,4,""),5,4,"")</f>
        <v>5589</v>
      </c>
      <c r="K3" s="1" t="str">
        <f>SUBSTITUTE(SUBSTITUTE(LOWER(C3), " ", "."), "..", ".")</f>
        <v>sara_moradi</v>
      </c>
      <c r="L3" s="1" t="str">
        <f>SUBSTITUTE(SUBSTITUTE(E3,"-"," "),"urgent","URGENT:")</f>
        <v>URGENT: order 2024</v>
      </c>
      <c r="M3" s="1" t="str">
        <f>I3&amp;"-"&amp;REPLACE(C3,1+2,LEN(C3)-2,"")</f>
        <v>PRD-5589-IR-sa</v>
      </c>
    </row>
    <row r="4" spans="1:13" x14ac:dyDescent="0.3">
      <c r="A4" s="1">
        <v>2</v>
      </c>
      <c r="B4" s="1" t="s">
        <v>9</v>
      </c>
      <c r="C4" s="1" t="s">
        <v>10</v>
      </c>
      <c r="D4" s="1" t="s">
        <v>11</v>
      </c>
      <c r="E4" s="1" t="s">
        <v>12</v>
      </c>
      <c r="G4" s="1" t="str">
        <f t="shared" ref="G4:G7" si="0">SUBSTITUTE(C4,"_"," ")</f>
        <v>amir.karimi</v>
      </c>
      <c r="H4" s="1" t="str">
        <f t="shared" ref="H4:H7" si="1">SUBSTITUTE(D4,"-"," ")</f>
        <v>0912 441 2231</v>
      </c>
      <c r="I4" s="1" t="str">
        <f t="shared" ref="I4:I7" si="2">REPLACE(B4,10,3,"IR")</f>
        <v>PRD-9921-IR</v>
      </c>
      <c r="J4" s="1" t="str">
        <f t="shared" ref="J4:J7" si="3">REPLACE(REPLACE(B4,1,4,""),5,4,"")</f>
        <v>9921</v>
      </c>
      <c r="K4" s="1" t="str">
        <f t="shared" ref="K4:K7" si="4">SUBSTITUTE(SUBSTITUTE(LOWER(C4), " ", "."), "..", ".")</f>
        <v>amir.karimi</v>
      </c>
      <c r="L4" s="1" t="str">
        <f t="shared" ref="L4:L7" si="5">SUBSTITUTE(SUBSTITUTE(E4,"-"," "),"urgent","URGENT:")</f>
        <v>pending review</v>
      </c>
      <c r="M4" s="1" t="str">
        <f t="shared" ref="M4:M7" si="6">I4&amp;"-"&amp;REPLACE(C4,1+2,LEN(C4)-2,"")</f>
        <v>PRD-9921-IR-am</v>
      </c>
    </row>
    <row r="5" spans="1:13" x14ac:dyDescent="0.3">
      <c r="A5" s="1">
        <v>3</v>
      </c>
      <c r="B5" s="1" t="s">
        <v>13</v>
      </c>
      <c r="C5" s="1" t="s">
        <v>14</v>
      </c>
      <c r="D5" s="1" t="s">
        <v>15</v>
      </c>
      <c r="E5" s="1" t="s">
        <v>16</v>
      </c>
      <c r="G5" s="1" t="str">
        <f t="shared" si="0"/>
        <v>neda  ahmadi</v>
      </c>
      <c r="H5" s="1" t="str">
        <f t="shared" si="1"/>
        <v>0930 111 9988</v>
      </c>
      <c r="I5" s="1" t="str">
        <f t="shared" si="2"/>
        <v>PRD-7710-IR</v>
      </c>
      <c r="J5" s="1" t="str">
        <f t="shared" si="3"/>
        <v>7710</v>
      </c>
      <c r="K5" s="1" t="str">
        <f t="shared" si="4"/>
        <v>neda__ahmadi</v>
      </c>
      <c r="L5" s="1" t="str">
        <f t="shared" si="5"/>
        <v>return request</v>
      </c>
      <c r="M5" s="1" t="str">
        <f t="shared" si="6"/>
        <v>PRD-7710-IR-ne</v>
      </c>
    </row>
    <row r="6" spans="1:13" x14ac:dyDescent="0.3">
      <c r="A6" s="1">
        <v>4</v>
      </c>
      <c r="B6" s="1" t="s">
        <v>17</v>
      </c>
      <c r="C6" s="1" t="s">
        <v>18</v>
      </c>
      <c r="D6" s="1" t="s">
        <v>19</v>
      </c>
      <c r="E6" s="1" t="s">
        <v>20</v>
      </c>
      <c r="G6" s="1" t="str">
        <f t="shared" si="0"/>
        <v>reza  morad</v>
      </c>
      <c r="H6" s="1" t="str">
        <f t="shared" si="1"/>
        <v>0913 552 7810</v>
      </c>
      <c r="I6" s="1" t="str">
        <f t="shared" si="2"/>
        <v>PRD-3355-IR</v>
      </c>
      <c r="J6" s="1" t="str">
        <f t="shared" si="3"/>
        <v>3355</v>
      </c>
      <c r="K6" s="1" t="str">
        <f t="shared" si="4"/>
        <v>reza__morad</v>
      </c>
      <c r="L6" s="1" t="str">
        <f t="shared" si="5"/>
        <v>order 2023 old</v>
      </c>
      <c r="M6" s="1" t="str">
        <f t="shared" si="6"/>
        <v>PRD-3355-IR-re</v>
      </c>
    </row>
    <row r="7" spans="1:13" x14ac:dyDescent="0.3">
      <c r="A7" s="1">
        <v>5</v>
      </c>
      <c r="B7" s="1" t="s">
        <v>21</v>
      </c>
      <c r="C7" s="1" t="s">
        <v>22</v>
      </c>
      <c r="D7" s="1" t="s">
        <v>23</v>
      </c>
      <c r="E7" s="1" t="s">
        <v>24</v>
      </c>
      <c r="G7" s="1" t="str">
        <f t="shared" si="0"/>
        <v>lida-mr</v>
      </c>
      <c r="H7" s="1" t="str">
        <f t="shared" si="1"/>
        <v>0938 220 8899</v>
      </c>
      <c r="I7" s="1" t="str">
        <f t="shared" si="2"/>
        <v>PRD-8899-IR</v>
      </c>
      <c r="J7" s="1" t="str">
        <f t="shared" si="3"/>
        <v>8899</v>
      </c>
      <c r="K7" s="1" t="str">
        <f t="shared" si="4"/>
        <v>lida-mr</v>
      </c>
      <c r="L7" s="1" t="str">
        <f t="shared" si="5"/>
        <v>URGENT: followup</v>
      </c>
      <c r="M7" s="1" t="str">
        <f t="shared" si="6"/>
        <v>PRD-8899-IR-li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Mohammad Mahdi Hashemi</dc:creator>
  <cp:lastModifiedBy>Seyed Mohammad Mahdi Hashemi</cp:lastModifiedBy>
  <dcterms:created xsi:type="dcterms:W3CDTF">2015-06-05T18:17:20Z</dcterms:created>
  <dcterms:modified xsi:type="dcterms:W3CDTF">2025-11-22T09:25:37Z</dcterms:modified>
</cp:coreProperties>
</file>