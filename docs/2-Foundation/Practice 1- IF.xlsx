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-analysis-basic\docs\2-Foundation\"/>
    </mc:Choice>
  </mc:AlternateContent>
  <xr:revisionPtr revIDLastSave="0" documentId="13_ncr:1_{FBEC3DF5-8138-4D2F-A9E7-5AD0AA8F01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Problem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M3" i="4" s="1" a="1"/>
  <c r="M3" i="4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L3" i="4"/>
  <c r="L4" i="4"/>
  <c r="L5" i="4"/>
  <c r="L6" i="4"/>
  <c r="L7" i="4"/>
  <c r="L8" i="4"/>
  <c r="L9" i="4"/>
  <c r="K4" i="4"/>
  <c r="K5" i="4"/>
  <c r="K6" i="4"/>
  <c r="K7" i="4"/>
  <c r="K8" i="4"/>
  <c r="K9" i="4"/>
  <c r="J4" i="4"/>
  <c r="J5" i="4"/>
  <c r="J6" i="4"/>
  <c r="J7" i="4"/>
  <c r="J8" i="4"/>
  <c r="J9" i="4"/>
  <c r="J3" i="4"/>
  <c r="I4" i="4"/>
  <c r="I5" i="4"/>
  <c r="I6" i="4"/>
  <c r="I7" i="4"/>
  <c r="I8" i="4"/>
  <c r="I9" i="4"/>
  <c r="I3" i="4"/>
  <c r="H4" i="4"/>
  <c r="H5" i="4"/>
  <c r="H6" i="4"/>
  <c r="H7" i="4"/>
  <c r="H8" i="4"/>
  <c r="H9" i="4"/>
  <c r="H3" i="4"/>
  <c r="G4" i="4"/>
  <c r="G5" i="4"/>
  <c r="G6" i="4"/>
  <c r="G7" i="4"/>
  <c r="G8" i="4"/>
  <c r="G9" i="4"/>
  <c r="G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<sst xmlns="http://schemas.openxmlformats.org/spreadsheetml/2006/main" count="38" uniqueCount="26">
  <si>
    <t>ID</t>
  </si>
  <si>
    <t>Name</t>
  </si>
  <si>
    <t>Exam Score</t>
  </si>
  <si>
    <t>Attendance (%)</t>
  </si>
  <si>
    <t>Late Submissions</t>
  </si>
  <si>
    <t>Sara</t>
  </si>
  <si>
    <t>Amir</t>
  </si>
  <si>
    <t>Neda</t>
  </si>
  <si>
    <t>Reza</t>
  </si>
  <si>
    <t>Lida</t>
  </si>
  <si>
    <t>Hamed</t>
  </si>
  <si>
    <t>Mona</t>
  </si>
  <si>
    <t>Problem-1</t>
  </si>
  <si>
    <t>Problem-2</t>
  </si>
  <si>
    <t>Problem-3</t>
  </si>
  <si>
    <t>Problem-4</t>
  </si>
  <si>
    <t>Problem-5</t>
  </si>
  <si>
    <t>Problem-6</t>
  </si>
  <si>
    <t>Problem-7</t>
  </si>
  <si>
    <t>Pass/Fail</t>
  </si>
  <si>
    <t>Attendance_OK</t>
  </si>
  <si>
    <t>Final_Status</t>
  </si>
  <si>
    <t>Penalty</t>
  </si>
  <si>
    <t>Risk_Level</t>
  </si>
  <si>
    <t>Scholarship</t>
  </si>
  <si>
    <t>Instructor_Action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</si>
</sst>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14" sqref="E14"/>
    </sheetView>
  </sheetViews>
  <sheetFormatPr defaultRowHeight="14.4" x14ac:dyDescent="0.3"/>
  <cols>
    <col min="1" max="1" width="2.77734375" bestFit="1" customWidth="1"/>
    <col min="2" max="2" width="6.77734375" bestFit="1" customWidth="1"/>
    <col min="3" max="3" width="10.44140625" bestFit="1" customWidth="1"/>
    <col min="4" max="4" width="13.44140625" bestFit="1" customWidth="1"/>
    <col min="5" max="5" width="14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92</v>
      </c>
      <c r="D2">
        <v>88</v>
      </c>
      <c r="E2">
        <v>0</v>
      </c>
    </row>
    <row r="3" spans="1:5" x14ac:dyDescent="0.3">
      <c r="A3">
        <v>2</v>
      </c>
      <c r="B3" t="s">
        <v>6</v>
      </c>
      <c r="C3">
        <v>76</v>
      </c>
      <c r="D3">
        <v>60</v>
      </c>
      <c r="E3">
        <v>2</v>
      </c>
    </row>
    <row r="4" spans="1:5" x14ac:dyDescent="0.3">
      <c r="A4">
        <v>3</v>
      </c>
      <c r="B4" t="s">
        <v>7</v>
      </c>
      <c r="C4">
        <v>58</v>
      </c>
      <c r="D4">
        <v>92</v>
      </c>
      <c r="E4">
        <v>1</v>
      </c>
    </row>
    <row r="5" spans="1:5" x14ac:dyDescent="0.3">
      <c r="A5">
        <v>4</v>
      </c>
      <c r="B5" t="s">
        <v>8</v>
      </c>
      <c r="C5">
        <v>45</v>
      </c>
      <c r="D5">
        <v>50</v>
      </c>
      <c r="E5">
        <v>5</v>
      </c>
    </row>
    <row r="6" spans="1:5" x14ac:dyDescent="0.3">
      <c r="A6">
        <v>5</v>
      </c>
      <c r="B6" t="s">
        <v>9</v>
      </c>
      <c r="C6">
        <v>81</v>
      </c>
      <c r="D6">
        <v>100</v>
      </c>
      <c r="E6">
        <v>0</v>
      </c>
    </row>
    <row r="7" spans="1:5" x14ac:dyDescent="0.3">
      <c r="A7">
        <v>6</v>
      </c>
      <c r="B7" t="s">
        <v>10</v>
      </c>
      <c r="C7">
        <v>69</v>
      </c>
      <c r="D7">
        <v>82</v>
      </c>
      <c r="E7">
        <v>3</v>
      </c>
    </row>
    <row r="8" spans="1:5" x14ac:dyDescent="0.3">
      <c r="A8">
        <v>7</v>
      </c>
      <c r="B8" t="s">
        <v>11</v>
      </c>
      <c r="C8">
        <v>33</v>
      </c>
      <c r="D8">
        <v>70</v>
      </c>
      <c r="E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D53B-014C-4E54-842B-E95AE1AC328D}">
  <dimension ref="A1:M9"/>
  <sheetViews>
    <sheetView tabSelected="1" workbookViewId="0">
      <selection activeCell="H15" sqref="H15"/>
    </sheetView>
  </sheetViews>
  <sheetFormatPr defaultRowHeight="14.4" x14ac:dyDescent="0.3"/>
  <cols>
    <col min="1" max="1" width="2.77734375" style="1" bestFit="1" customWidth="1"/>
    <col min="2" max="2" width="6.77734375" style="1" bestFit="1" customWidth="1"/>
    <col min="3" max="3" width="10.44140625" style="1" bestFit="1" customWidth="1"/>
    <col min="4" max="4" width="13.44140625" style="1" bestFit="1" customWidth="1"/>
    <col min="5" max="5" width="14.88671875" style="1" bestFit="1" customWidth="1"/>
    <col min="6" max="6" width="8.88671875" style="1"/>
    <col min="7" max="7" width="9.44140625" style="1" bestFit="1" customWidth="1"/>
    <col min="8" max="8" width="13.77734375" style="1" bestFit="1" customWidth="1"/>
    <col min="9" max="9" width="11.5546875" style="1" bestFit="1" customWidth="1"/>
    <col min="10" max="10" width="9.44140625" style="1" bestFit="1" customWidth="1"/>
    <col min="11" max="11" width="11.33203125" style="1" bestFit="1" customWidth="1"/>
    <col min="12" max="12" width="10.21875" style="1" bestFit="1" customWidth="1"/>
    <col min="13" max="13" width="24.77734375" style="1" bestFit="1" customWidth="1"/>
    <col min="14" max="16384" width="8.88671875" style="1"/>
  </cols>
  <sheetData>
    <row r="1" spans="1:13" ht="29.4" customHeight="1" x14ac:dyDescent="0.3"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3">
      <c r="A3" s="1">
        <v>1</v>
      </c>
      <c r="B3" s="1" t="s">
        <v>5</v>
      </c>
      <c r="C3" s="1">
        <v>92</v>
      </c>
      <c r="D3" s="1">
        <v>88</v>
      </c>
      <c r="E3" s="1">
        <v>0</v>
      </c>
      <c r="G3" s="1" t="str">
        <f>IF(C3&gt;= 60,"Pass","Fail")</f>
        <v>Pass</v>
      </c>
      <c r="H3" s="1" t="str">
        <f>IF(D3&gt;80,"OK","Low")</f>
        <v>OK</v>
      </c>
      <c r="I3" s="1" t="str">
        <f>IF(AND(C3&gt;=60,D3&gt;80),"Approved",IF(AND(C3&lt;60,D3&gt;80),"Retake Exam","Not Eligible"))</f>
        <v>Approved</v>
      </c>
      <c r="J3" s="1" t="str">
        <f>IF(E3&gt;2,"YES","NO")</f>
        <v>NO</v>
      </c>
      <c r="K3" s="1" t="str">
        <f>IF(AND(C3&lt;50,D3&lt;70),"High Risk",IF(AND(OR(C3&gt;=50,C3&lt;=70),E3&gt;=3),"Medium Risk",IF(AND(C3&gt;=70,D3&gt;=90),"Low Risk","Monitor")))</f>
        <v>Monitor</v>
      </c>
      <c r="L3" s="1" t="str">
        <f>IF(AND(C3&gt;=85,D3&gt;=95,E3=0),"Eligible","Not Eligible")</f>
        <v>Not Eligible</v>
      </c>
      <c r="M3" s="1" t="str" cm="1">
        <f t="array" ref="M3">_xlfn.IFS(K3="High Risk","Call Parents + Weekly Report",K3="Medium Risk","Mandatory Office Hour",K3="Low Risk","Send Congrats Email",K3="Monitor","Keep Observing")</f>
        <v>Keep Observing</v>
      </c>
    </row>
    <row r="4" spans="1:13" x14ac:dyDescent="0.3">
      <c r="A4" s="1">
        <v>2</v>
      </c>
      <c r="B4" s="1" t="s">
        <v>6</v>
      </c>
      <c r="C4" s="1">
        <v>76</v>
      </c>
      <c r="D4" s="1">
        <v>60</v>
      </c>
      <c r="E4" s="1">
        <v>2</v>
      </c>
      <c r="G4" s="1" t="str">
        <f t="shared" ref="G4:G9" si="0">IF(C4&gt;= 60,"Pass","Fail")</f>
        <v>Pass</v>
      </c>
      <c r="H4" s="1" t="str">
        <f t="shared" ref="H4:H9" si="1">IF(D4&gt;80,"OK","Low")</f>
        <v>Low</v>
      </c>
      <c r="I4" s="1" t="str">
        <f t="shared" ref="I4:I9" si="2">IF(AND(C4&gt;=60,D4&gt;80),"Approved",IF(AND(C4&lt;60,D4&gt;80),"Retake Exam","Not Eligible"))</f>
        <v>Not Eligible</v>
      </c>
      <c r="J4" s="1" t="str">
        <f t="shared" ref="J4:J9" si="3">IF(E4&gt;2,"YES","NO")</f>
        <v>NO</v>
      </c>
      <c r="K4" s="1" t="str">
        <f t="shared" ref="K4:K9" si="4">IF(AND(C4&lt;50,D4&lt;70),"High Risk",IF(AND(OR(C4&gt;=50,C4&lt;=70),E4&gt;=3),"Medium Risk",IF(AND(C4&gt;=70,D4&gt;=90),"Low Risk","Monitor")))</f>
        <v>Monitor</v>
      </c>
      <c r="L4" s="1" t="str">
        <f t="shared" ref="L4:L9" si="5">IF(AND(C4&gt;=85,D4&gt;=95,E4=0),"Eligible","Not Eligible")</f>
        <v>Not Eligible</v>
      </c>
      <c r="M4" s="1" t="str" cm="1">
        <f t="array" ref="M4">_xlfn.IFS(K4="High Risk","Call Parents + Weekly Report",K4="Medium Risk","Mandatory Office Hour",K4="Low Risk","Send Congrats Email",K4="Monitor","Keep Observing")</f>
        <v>Keep Observing</v>
      </c>
    </row>
    <row r="5" spans="1:13" x14ac:dyDescent="0.3">
      <c r="A5" s="1">
        <v>3</v>
      </c>
      <c r="B5" s="1" t="s">
        <v>7</v>
      </c>
      <c r="C5" s="1">
        <v>58</v>
      </c>
      <c r="D5" s="1">
        <v>92</v>
      </c>
      <c r="E5" s="1">
        <v>1</v>
      </c>
      <c r="G5" s="1" t="str">
        <f t="shared" si="0"/>
        <v>Fail</v>
      </c>
      <c r="H5" s="1" t="str">
        <f t="shared" si="1"/>
        <v>OK</v>
      </c>
      <c r="I5" s="1" t="str">
        <f t="shared" si="2"/>
        <v>Retake Exam</v>
      </c>
      <c r="J5" s="1" t="str">
        <f t="shared" si="3"/>
        <v>NO</v>
      </c>
      <c r="K5" s="1" t="str">
        <f t="shared" si="4"/>
        <v>Monitor</v>
      </c>
      <c r="L5" s="1" t="str">
        <f t="shared" si="5"/>
        <v>Not Eligible</v>
      </c>
      <c r="M5" s="1" t="str" cm="1">
        <f t="array" ref="M5">_xlfn.IFS(K5="High Risk","Call Parents + Weekly Report",K5="Medium Risk","Mandatory Office Hour",K5="Low Risk","Send Congrats Email",K5="Monitor","Keep Observing")</f>
        <v>Keep Observing</v>
      </c>
    </row>
    <row r="6" spans="1:13" x14ac:dyDescent="0.3">
      <c r="A6" s="1">
        <v>4</v>
      </c>
      <c r="B6" s="1" t="s">
        <v>8</v>
      </c>
      <c r="C6" s="1">
        <v>45</v>
      </c>
      <c r="D6" s="1">
        <v>50</v>
      </c>
      <c r="E6" s="1">
        <v>5</v>
      </c>
      <c r="G6" s="1" t="str">
        <f t="shared" si="0"/>
        <v>Fail</v>
      </c>
      <c r="H6" s="1" t="str">
        <f t="shared" si="1"/>
        <v>Low</v>
      </c>
      <c r="I6" s="1" t="str">
        <f t="shared" si="2"/>
        <v>Not Eligible</v>
      </c>
      <c r="J6" s="1" t="str">
        <f t="shared" si="3"/>
        <v>YES</v>
      </c>
      <c r="K6" s="1" t="str">
        <f t="shared" si="4"/>
        <v>High Risk</v>
      </c>
      <c r="L6" s="1" t="str">
        <f t="shared" si="5"/>
        <v>Not Eligible</v>
      </c>
      <c r="M6" s="1" t="str" cm="1">
        <f t="array" ref="M6">_xlfn.IFS(K6="High Risk","Call Parents + Weekly Report",K6="Medium Risk","Mandatory Office Hour",K6="Low Risk","Send Congrats Email",K6="Monitor","Keep Observing")</f>
        <v>Call Parents + Weekly Report</v>
      </c>
    </row>
    <row r="7" spans="1:13" x14ac:dyDescent="0.3">
      <c r="A7" s="1">
        <v>5</v>
      </c>
      <c r="B7" s="1" t="s">
        <v>9</v>
      </c>
      <c r="C7" s="1">
        <v>81</v>
      </c>
      <c r="D7" s="1">
        <v>100</v>
      </c>
      <c r="E7" s="1">
        <v>0</v>
      </c>
      <c r="G7" s="1" t="str">
        <f t="shared" si="0"/>
        <v>Pass</v>
      </c>
      <c r="H7" s="1" t="str">
        <f t="shared" si="1"/>
        <v>OK</v>
      </c>
      <c r="I7" s="1" t="str">
        <f t="shared" si="2"/>
        <v>Approved</v>
      </c>
      <c r="J7" s="1" t="str">
        <f t="shared" si="3"/>
        <v>NO</v>
      </c>
      <c r="K7" s="1" t="str">
        <f t="shared" si="4"/>
        <v>Low Risk</v>
      </c>
      <c r="L7" s="1" t="str">
        <f t="shared" si="5"/>
        <v>Not Eligible</v>
      </c>
      <c r="M7" s="1" t="str" cm="1">
        <f t="array" ref="M7">_xlfn.IFS(K7="High Risk","Call Parents + Weekly Report",K7="Medium Risk","Mandatory Office Hour",K7="Low Risk","Send Congrats Email",K7="Monitor","Keep Observing")</f>
        <v>Send Congrats Email</v>
      </c>
    </row>
    <row r="8" spans="1:13" x14ac:dyDescent="0.3">
      <c r="A8" s="1">
        <v>6</v>
      </c>
      <c r="B8" s="1" t="s">
        <v>10</v>
      </c>
      <c r="C8" s="1">
        <v>69</v>
      </c>
      <c r="D8" s="1">
        <v>82</v>
      </c>
      <c r="E8" s="1">
        <v>3</v>
      </c>
      <c r="G8" s="1" t="str">
        <f t="shared" si="0"/>
        <v>Pass</v>
      </c>
      <c r="H8" s="1" t="str">
        <f t="shared" si="1"/>
        <v>OK</v>
      </c>
      <c r="I8" s="1" t="str">
        <f t="shared" si="2"/>
        <v>Approved</v>
      </c>
      <c r="J8" s="1" t="str">
        <f t="shared" si="3"/>
        <v>YES</v>
      </c>
      <c r="K8" s="1" t="str">
        <f t="shared" si="4"/>
        <v>Medium Risk</v>
      </c>
      <c r="L8" s="1" t="str">
        <f t="shared" si="5"/>
        <v>Not Eligible</v>
      </c>
      <c r="M8" s="1" t="str" cm="1">
        <f t="array" ref="M8">_xlfn.IFS(K8="High Risk","Call Parents + Weekly Report",K8="Medium Risk","Mandatory Office Hour",K8="Low Risk","Send Congrats Email",K8="Monitor","Keep Observing")</f>
        <v>Mandatory Office Hour</v>
      </c>
    </row>
    <row r="9" spans="1:13" x14ac:dyDescent="0.3">
      <c r="A9" s="1">
        <v>7</v>
      </c>
      <c r="B9" s="1" t="s">
        <v>11</v>
      </c>
      <c r="C9" s="1">
        <v>33</v>
      </c>
      <c r="D9" s="1">
        <v>70</v>
      </c>
      <c r="E9" s="1">
        <v>4</v>
      </c>
      <c r="G9" s="1" t="str">
        <f t="shared" si="0"/>
        <v>Fail</v>
      </c>
      <c r="H9" s="1" t="str">
        <f t="shared" si="1"/>
        <v>Low</v>
      </c>
      <c r="I9" s="1" t="str">
        <f t="shared" si="2"/>
        <v>Not Eligible</v>
      </c>
      <c r="J9" s="1" t="str">
        <f t="shared" si="3"/>
        <v>YES</v>
      </c>
      <c r="K9" s="1" t="str">
        <f t="shared" si="4"/>
        <v>Medium Risk</v>
      </c>
      <c r="L9" s="1" t="str">
        <f t="shared" si="5"/>
        <v>Not Eligible</v>
      </c>
      <c r="M9" s="1" t="str" cm="1">
        <f t="array" ref="M9">_xlfn.IFS(K9="High Risk","Call Parents + Weekly Report",K9="Medium Risk","Mandatory Office Hour",K9="Low Risk","Send Congrats Email",K9="Monitor","Keep Observing")</f>
        <v>Mandatory Office Hour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Problems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 Mohammad Mahdi Hashemi</dc:creator>
  <cp:lastModifiedBy>Seyed Mohammad Mahdi Hashemi</cp:lastModifiedBy>
  <dcterms:created xsi:type="dcterms:W3CDTF">2015-06-05T18:17:20Z</dcterms:created>
  <dcterms:modified xsi:type="dcterms:W3CDTF">2025-11-20T17:35:47Z</dcterms:modified>
</cp:coreProperties>
</file>